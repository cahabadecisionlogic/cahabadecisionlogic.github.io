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ra\Documents\"/>
    </mc:Choice>
  </mc:AlternateContent>
  <xr:revisionPtr revIDLastSave="0" documentId="8_{4ED392EF-9F02-4207-A119-72084BB913AB}" xr6:coauthVersionLast="47" xr6:coauthVersionMax="47" xr10:uidLastSave="{00000000-0000-0000-0000-000000000000}"/>
  <bookViews>
    <workbookView xWindow="-108" yWindow="-108" windowWidth="23256" windowHeight="13176" xr2:uid="{64C8CA14-D3CF-4AF1-A36B-286935576851}"/>
  </bookViews>
  <sheets>
    <sheet name="DASHBOARD" sheetId="4" r:id="rId1"/>
    <sheet name="README_Case_ContextCahaba Struc" sheetId="3" r:id="rId2"/>
    <sheet name="INPUT_Control_Panel" sheetId="1" r:id="rId3"/>
    <sheet name="CALC_Revenue_Engine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6" i="2" l="1"/>
  <c r="J42" i="2" s="1"/>
  <c r="C57" i="2"/>
  <c r="D57" i="2"/>
  <c r="E57" i="2"/>
  <c r="F57" i="2"/>
  <c r="G57" i="2"/>
  <c r="C58" i="2"/>
  <c r="D58" i="2"/>
  <c r="E58" i="2"/>
  <c r="F58" i="2"/>
  <c r="G58" i="2"/>
  <c r="C59" i="2"/>
  <c r="D59" i="2"/>
  <c r="E59" i="2"/>
  <c r="F59" i="2"/>
  <c r="G59" i="2"/>
  <c r="B59" i="2"/>
  <c r="B58" i="2"/>
  <c r="B57" i="2"/>
  <c r="B53" i="2"/>
  <c r="B52" i="2"/>
  <c r="B51" i="2"/>
  <c r="C40" i="2"/>
  <c r="D40" i="2"/>
  <c r="E40" i="2"/>
  <c r="F40" i="2"/>
  <c r="G40" i="2"/>
  <c r="H40" i="2"/>
  <c r="I40" i="2"/>
  <c r="J40" i="2"/>
  <c r="K40" i="2"/>
  <c r="L40" i="2"/>
  <c r="M40" i="2"/>
  <c r="C41" i="2"/>
  <c r="D41" i="2"/>
  <c r="E41" i="2"/>
  <c r="F41" i="2"/>
  <c r="G41" i="2"/>
  <c r="H41" i="2"/>
  <c r="I41" i="2"/>
  <c r="J41" i="2"/>
  <c r="K41" i="2"/>
  <c r="L41" i="2"/>
  <c r="M41" i="2"/>
  <c r="C42" i="2"/>
  <c r="D42" i="2"/>
  <c r="E42" i="2"/>
  <c r="F42" i="2"/>
  <c r="G42" i="2"/>
  <c r="L42" i="2"/>
  <c r="M42" i="2"/>
  <c r="C43" i="2"/>
  <c r="D43" i="2"/>
  <c r="E43" i="2"/>
  <c r="F43" i="2"/>
  <c r="I43" i="2"/>
  <c r="J43" i="2"/>
  <c r="K43" i="2"/>
  <c r="L43" i="2"/>
  <c r="M43" i="2"/>
  <c r="B43" i="2"/>
  <c r="B41" i="2"/>
  <c r="B40" i="2"/>
  <c r="C34" i="2"/>
  <c r="D34" i="2"/>
  <c r="E34" i="2"/>
  <c r="F34" i="2"/>
  <c r="G34" i="2"/>
  <c r="J34" i="2"/>
  <c r="K34" i="2"/>
  <c r="L34" i="2"/>
  <c r="M34" i="2"/>
  <c r="B34" i="2"/>
  <c r="C30" i="2"/>
  <c r="D30" i="2"/>
  <c r="E30" i="2"/>
  <c r="F30" i="2"/>
  <c r="G30" i="2"/>
  <c r="B30" i="2"/>
  <c r="C29" i="2"/>
  <c r="D29" i="2"/>
  <c r="E29" i="2"/>
  <c r="H29" i="2"/>
  <c r="I29" i="2"/>
  <c r="J29" i="2"/>
  <c r="K29" i="2"/>
  <c r="L29" i="2"/>
  <c r="M29" i="2"/>
  <c r="E28" i="2"/>
  <c r="F28" i="2"/>
  <c r="G28" i="2"/>
  <c r="H28" i="2"/>
  <c r="I28" i="2"/>
  <c r="J28" i="2"/>
  <c r="M28" i="2"/>
  <c r="B29" i="2"/>
  <c r="B28" i="2"/>
  <c r="C19" i="2"/>
  <c r="D19" i="2"/>
  <c r="E19" i="2"/>
  <c r="F19" i="2"/>
  <c r="G19" i="2"/>
  <c r="G20" i="2" s="1"/>
  <c r="G22" i="2" s="1"/>
  <c r="H19" i="2"/>
  <c r="H20" i="2" s="1"/>
  <c r="H22" i="2" s="1"/>
  <c r="I19" i="2"/>
  <c r="I20" i="2" s="1"/>
  <c r="I22" i="2" s="1"/>
  <c r="J19" i="2"/>
  <c r="J20" i="2" s="1"/>
  <c r="J22" i="2" s="1"/>
  <c r="K19" i="2"/>
  <c r="L19" i="2"/>
  <c r="M19" i="2"/>
  <c r="B19" i="2"/>
  <c r="C20" i="2"/>
  <c r="D20" i="2"/>
  <c r="E20" i="2"/>
  <c r="E22" i="2" s="1"/>
  <c r="F20" i="2"/>
  <c r="F22" i="2" s="1"/>
  <c r="K20" i="2"/>
  <c r="L20" i="2"/>
  <c r="L22" i="2" s="1"/>
  <c r="M20" i="2"/>
  <c r="M22" i="2" s="1"/>
  <c r="D22" i="2"/>
  <c r="B20" i="2"/>
  <c r="B22" i="2" s="1"/>
  <c r="C22" i="2"/>
  <c r="K22" i="2"/>
  <c r="D21" i="2"/>
  <c r="E21" i="2"/>
  <c r="F21" i="2" s="1"/>
  <c r="G21" i="2" s="1"/>
  <c r="H21" i="2" s="1"/>
  <c r="I21" i="2" s="1"/>
  <c r="J21" i="2" s="1"/>
  <c r="K21" i="2" s="1"/>
  <c r="L21" i="2" s="1"/>
  <c r="M21" i="2" s="1"/>
  <c r="C21" i="2"/>
  <c r="C18" i="2"/>
  <c r="D18" i="2"/>
  <c r="E18" i="2"/>
  <c r="F18" i="2"/>
  <c r="G18" i="2"/>
  <c r="H18" i="2"/>
  <c r="I18" i="2"/>
  <c r="J18" i="2"/>
  <c r="K18" i="2"/>
  <c r="L18" i="2"/>
  <c r="M18" i="2"/>
  <c r="C17" i="2"/>
  <c r="D17" i="2"/>
  <c r="E17" i="2"/>
  <c r="F17" i="2"/>
  <c r="G17" i="2"/>
  <c r="H17" i="2"/>
  <c r="I17" i="2"/>
  <c r="J17" i="2"/>
  <c r="K17" i="2"/>
  <c r="L17" i="2"/>
  <c r="M17" i="2"/>
  <c r="B18" i="2"/>
  <c r="B17" i="2"/>
  <c r="C13" i="2"/>
  <c r="D13" i="2"/>
  <c r="E13" i="2"/>
  <c r="F13" i="2"/>
  <c r="G13" i="2"/>
  <c r="H13" i="2"/>
  <c r="I13" i="2"/>
  <c r="J13" i="2"/>
  <c r="K13" i="2"/>
  <c r="L13" i="2"/>
  <c r="M13" i="2"/>
  <c r="C12" i="2"/>
  <c r="D12" i="2"/>
  <c r="E12" i="2"/>
  <c r="E14" i="2" s="1"/>
  <c r="F12" i="2"/>
  <c r="G12" i="2"/>
  <c r="H12" i="2"/>
  <c r="I12" i="2"/>
  <c r="J12" i="2"/>
  <c r="K12" i="2"/>
  <c r="L12" i="2"/>
  <c r="M12" i="2"/>
  <c r="C11" i="2"/>
  <c r="C14" i="2" s="1"/>
  <c r="D11" i="2"/>
  <c r="D14" i="2" s="1"/>
  <c r="E11" i="2"/>
  <c r="F11" i="2"/>
  <c r="G11" i="2"/>
  <c r="H11" i="2"/>
  <c r="I11" i="2"/>
  <c r="J11" i="2"/>
  <c r="K11" i="2"/>
  <c r="L11" i="2"/>
  <c r="M11" i="2"/>
  <c r="B13" i="2"/>
  <c r="B12" i="2"/>
  <c r="B11" i="2"/>
  <c r="K14" i="2"/>
  <c r="L14" i="2"/>
  <c r="M14" i="2"/>
  <c r="C8" i="2"/>
  <c r="D8" i="2"/>
  <c r="E8" i="2"/>
  <c r="F8" i="2"/>
  <c r="G8" i="2"/>
  <c r="H8" i="2"/>
  <c r="I8" i="2"/>
  <c r="J8" i="2"/>
  <c r="K8" i="2"/>
  <c r="L8" i="2"/>
  <c r="M8" i="2"/>
  <c r="B8" i="2"/>
  <c r="F5" i="1"/>
  <c r="L28" i="2" l="1"/>
  <c r="D28" i="2"/>
  <c r="G29" i="2"/>
  <c r="I34" i="2"/>
  <c r="H43" i="2"/>
  <c r="I42" i="2"/>
  <c r="K28" i="2"/>
  <c r="K33" i="2" s="1"/>
  <c r="K35" i="2" s="1"/>
  <c r="C28" i="2"/>
  <c r="C38" i="2" s="1"/>
  <c r="F29" i="2"/>
  <c r="H34" i="2"/>
  <c r="B42" i="2"/>
  <c r="G43" i="2"/>
  <c r="H42" i="2"/>
  <c r="K42" i="2"/>
  <c r="J33" i="2"/>
  <c r="J35" i="2" s="1"/>
  <c r="K38" i="2"/>
  <c r="K44" i="2" s="1"/>
  <c r="K45" i="2" s="1"/>
  <c r="K46" i="2" s="1"/>
  <c r="B33" i="2"/>
  <c r="B35" i="2" s="1"/>
  <c r="H33" i="2"/>
  <c r="H35" i="2" s="1"/>
  <c r="I33" i="2"/>
  <c r="I35" i="2" s="1"/>
  <c r="B38" i="2"/>
  <c r="G38" i="2"/>
  <c r="G66" i="2" s="1"/>
  <c r="F38" i="2"/>
  <c r="F66" i="2" s="1"/>
  <c r="M38" i="2"/>
  <c r="M44" i="2" s="1"/>
  <c r="M45" i="2" s="1"/>
  <c r="M46" i="2" s="1"/>
  <c r="E38" i="2"/>
  <c r="J38" i="2"/>
  <c r="J44" i="2" s="1"/>
  <c r="J45" i="2" s="1"/>
  <c r="J46" i="2" s="1"/>
  <c r="I38" i="2"/>
  <c r="I44" i="2" s="1"/>
  <c r="L33" i="2"/>
  <c r="L35" i="2" s="1"/>
  <c r="D33" i="2"/>
  <c r="D35" i="2" s="1"/>
  <c r="H38" i="2"/>
  <c r="H44" i="2" s="1"/>
  <c r="H45" i="2" s="1"/>
  <c r="L38" i="2"/>
  <c r="L44" i="2" s="1"/>
  <c r="L45" i="2" s="1"/>
  <c r="L46" i="2" s="1"/>
  <c r="D38" i="2"/>
  <c r="G33" i="2"/>
  <c r="G35" i="2" s="1"/>
  <c r="F33" i="2"/>
  <c r="F35" i="2" s="1"/>
  <c r="M33" i="2"/>
  <c r="M35" i="2" s="1"/>
  <c r="E33" i="2"/>
  <c r="E35" i="2" s="1"/>
  <c r="G14" i="2"/>
  <c r="F14" i="2"/>
  <c r="I14" i="2"/>
  <c r="J14" i="2"/>
  <c r="H14" i="2"/>
  <c r="B14" i="2"/>
  <c r="C33" i="2" l="1"/>
  <c r="C35" i="2" s="1"/>
  <c r="I45" i="2"/>
  <c r="I46" i="2" s="1"/>
  <c r="G44" i="2"/>
  <c r="G45" i="2" s="1"/>
  <c r="G46" i="2" s="1"/>
  <c r="G68" i="2" s="1"/>
  <c r="D44" i="2"/>
  <c r="D45" i="2" s="1"/>
  <c r="D66" i="2"/>
  <c r="G67" i="2"/>
  <c r="F44" i="2"/>
  <c r="F45" i="2" s="1"/>
  <c r="B44" i="2"/>
  <c r="B45" i="2" s="1"/>
  <c r="B66" i="2"/>
  <c r="E44" i="2"/>
  <c r="E45" i="2" s="1"/>
  <c r="E66" i="2"/>
  <c r="C44" i="2"/>
  <c r="C45" i="2" s="1"/>
  <c r="C66" i="2"/>
  <c r="H46" i="2"/>
  <c r="B46" i="2" l="1"/>
  <c r="B68" i="2" s="1"/>
  <c r="B67" i="2"/>
  <c r="E46" i="2"/>
  <c r="E68" i="2" s="1"/>
  <c r="E67" i="2"/>
  <c r="F46" i="2"/>
  <c r="F68" i="2" s="1"/>
  <c r="F67" i="2"/>
  <c r="C46" i="2"/>
  <c r="C68" i="2" s="1"/>
  <c r="C67" i="2"/>
  <c r="D46" i="2"/>
  <c r="D68" i="2" s="1"/>
  <c r="D67" i="2"/>
</calcChain>
</file>

<file path=xl/sharedStrings.xml><?xml version="1.0" encoding="utf-8"?>
<sst xmlns="http://schemas.openxmlformats.org/spreadsheetml/2006/main" count="149" uniqueCount="126">
  <si>
    <t>Service Name</t>
  </si>
  <si>
    <t>Base Pricing</t>
  </si>
  <si>
    <t>"Premium Fee" Adjustment Rate</t>
  </si>
  <si>
    <t>PE Hours Required per project</t>
  </si>
  <si>
    <t>JE Hours Required per project</t>
  </si>
  <si>
    <t>Principal Draw</t>
  </si>
  <si>
    <t>Professional Liability Base Rate</t>
  </si>
  <si>
    <t>Comples Structural Consults</t>
  </si>
  <si>
    <t>Routine Civil Design</t>
  </si>
  <si>
    <t>Milestone Phase</t>
  </si>
  <si>
    <t>Collection Percentage</t>
  </si>
  <si>
    <t>Month 0: Upfront Retainer</t>
  </si>
  <si>
    <t>Month 1: Draft Submission</t>
  </si>
  <si>
    <t>Month 2: Final Approval</t>
  </si>
  <si>
    <t>Total Check</t>
  </si>
  <si>
    <t>Espense Category</t>
  </si>
  <si>
    <t>Monthly Baseline Cost</t>
  </si>
  <si>
    <t>Principle Draw</t>
  </si>
  <si>
    <t>Office/Admin OH</t>
  </si>
  <si>
    <t>Engineering Software (Per License)</t>
  </si>
  <si>
    <t>Junior Engineer Base Salary</t>
  </si>
  <si>
    <t>Project Lifecycle Timeline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</si>
  <si>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</si>
  <si>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</si>
  <si>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</si>
  <si>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</si>
  <si>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</si>
  <si>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</si>
  <si>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</si>
  <si>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</si>
  <si>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</si>
  <si>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</si>
  <si>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</si>
  <si>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</si>
  <si>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Service A: Standard Structural Projects Signed</t>
  </si>
  <si>
    <t>Service A: Risk Premium Allocation Projects Signed</t>
  </si>
  <si>
    <t>Service B: Routine Civil Projects Signed</t>
  </si>
  <si>
    <t>Total Contracts Signed</t>
  </si>
  <si>
    <t>CASH INFLOWS</t>
  </si>
  <si>
    <t>Upfront Retainers Collected (30% of Current Month Contracts)</t>
  </si>
  <si>
    <t>Draft Submissions Collected (40% of Previous Month Contracts)</t>
  </si>
  <si>
    <t>Final Approvals Collected (30% of Two Months Ago Contracts)</t>
  </si>
  <si>
    <t>Total Monthly Cash Inflows</t>
  </si>
  <si>
    <t>LABOR CAPACITY TRACKING (ONE-MAN SHOW)</t>
  </si>
  <si>
    <t>Principal Hours Consumed: Standard Structural</t>
  </si>
  <si>
    <t>Principal Hours Consumed: Risk Premium</t>
  </si>
  <si>
    <t>Principal Hours Consumed: Routine Civil</t>
  </si>
  <si>
    <t>Total Principal Hours Required</t>
  </si>
  <si>
    <t>Maximum Available Principal Hours</t>
  </si>
  <si>
    <t>Capacity Shortage / (Surplus Hours)</t>
  </si>
  <si>
    <t>STRATEGIC DECISION LAYER</t>
  </si>
  <si>
    <t>Active Strategy (1 = Baseline, 2 = Premium Pricing Optimization, 3 = Staff Expansion)</t>
  </si>
  <si>
    <t>Dynamic Vol: Standard Structural</t>
  </si>
  <si>
    <t>Dynamic Vol: Risk Premium Structural</t>
  </si>
  <si>
    <t>Dynamic Vol: Routine Civil</t>
  </si>
  <si>
    <t>DYNAMIC LABOR TRACKING</t>
  </si>
  <si>
    <t>Dynamic Principal Hours Consumed</t>
  </si>
  <si>
    <t>Dynamic Junior Hours Consumed</t>
  </si>
  <si>
    <t>Principal Hours Shortage / (Surplus)</t>
  </si>
  <si>
    <t>DYNAMIC PROFIT &amp; LOSS ANALYSIS</t>
  </si>
  <si>
    <t>Dynamic Gross Revenue</t>
  </si>
  <si>
    <t>Less: Operating Expenses</t>
  </si>
  <si>
    <t>Office/Admind OH</t>
  </si>
  <si>
    <t>Engineering Software Licenses</t>
  </si>
  <si>
    <t>Junior Engineer Salary</t>
  </si>
  <si>
    <t>Professional Liability Insurance</t>
  </si>
  <si>
    <t>Total Operating Expenses</t>
  </si>
  <si>
    <t>Dynamic Net Income</t>
  </si>
  <si>
    <t>Cahaba Structural Engineering Simulation Brief</t>
  </si>
  <si>
    <r>
      <t>Project Type:</t>
    </r>
    <r>
      <rPr>
        <sz val="11"/>
        <color rgb="FF000000"/>
        <rFont val="Arial"/>
        <family val="2"/>
      </rPr>
      <t xml:space="preserve"> Professional Services Master Budget &amp; Capacity Optimization Model</t>
    </r>
  </si>
  <si>
    <r>
      <t>Entity Structure:</t>
    </r>
    <r>
      <rPr>
        <sz val="11"/>
        <color rgb="FF000000"/>
        <rFont val="Arial"/>
        <family val="2"/>
      </rPr>
      <t xml:space="preserve"> Sole Proprietorship / Principal-Led Engineering Firm</t>
    </r>
  </si>
  <si>
    <r>
      <t>Core Objective:</t>
    </r>
    <r>
      <rPr>
        <sz val="11"/>
        <color rgb="FF000000"/>
        <rFont val="Arial"/>
        <family val="2"/>
      </rPr>
      <t xml:space="preserve"> Model cash flow lifecycle, optimize a hard billable-hour capacity bottleneck, and simulate a strategic scaling pivot.</t>
    </r>
  </si>
  <si>
    <t>1. The Operational Reality (The Inputs)</t>
  </si>
  <si>
    <t>Cahaba Structural Engineering is a highly profitable, specialized firm owned and operated by a single Principal Engineer ($PE$). The firm is currently facing a "good problem": demand for its services exceeds the physical hours the owner has available. The owner is considering hiring a Junior Engineer ($JE$) to scale operations but needs a dynamic financial model to test the viability of this fixed-overhead expansion.</t>
  </si>
  <si>
    <t>The Product Mix &amp; Constraints</t>
  </si>
  <si>
    <t>The firm generates revenue through two core service lines:</t>
  </si>
  <si>
    <t>[Available Capacity: 160 Principal Hours / Month]</t>
  </si>
  <si>
    <t>       │</t>
  </si>
  <si>
    <t>       ├─► Service A: Complex Structural Consults (Requires PE Seal)</t>
  </si>
  <si>
    <t>       │              Demand: Variable, High Margin</t>
  </si>
  <si>
    <t>       └─► Service B: Routine Civil/Site Design (Delegable to JE)</t>
  </si>
  <si>
    <t>                      Demand: Steady, Lower Margin</t>
  </si>
  <si>
    <r>
      <t>Service A: Complex Structural Consultations.</t>
    </r>
    <r>
      <rPr>
        <sz val="11"/>
        <color rgb="FF000000"/>
        <rFont val="Arial"/>
        <family val="2"/>
      </rPr>
      <t xml:space="preserve"> These require the unique, advanced expertise and legal seal of the Principal Engineer. They cannot be delegated.</t>
    </r>
  </si>
  <si>
    <r>
      <t>Labor Constraint:</t>
    </r>
    <r>
      <rPr>
        <sz val="11"/>
        <color rgb="FF000000"/>
        <rFont val="Arial"/>
        <family val="2"/>
      </rPr>
      <t xml:space="preserve"> Requires </t>
    </r>
    <r>
      <rPr>
        <b/>
        <sz val="11"/>
        <color rgb="FF000000"/>
        <rFont val="Arial"/>
        <family val="2"/>
      </rPr>
      <t>10 hours</t>
    </r>
    <r>
      <rPr>
        <sz val="11"/>
        <color rgb="FF000000"/>
        <rFont val="Arial"/>
        <family val="2"/>
      </rPr>
      <t xml:space="preserve"> of Principal Engineer time per project.</t>
    </r>
  </si>
  <si>
    <r>
      <t>Pricing:</t>
    </r>
    <r>
      <rPr>
        <sz val="11"/>
        <color rgb="FF000000"/>
        <rFont val="Arial"/>
        <family val="2"/>
      </rPr>
      <t xml:space="preserve"> Standard rate is $250/hour ($2,500 per project). If a client is deemed "high friction" (the premium pricing tier), the rate dynamically steps up by 20% to $300/hour ($3,000 per project).</t>
    </r>
  </si>
  <si>
    <r>
      <t>Service B: Routine Civil/Site Design.</t>
    </r>
    <r>
      <rPr>
        <sz val="11"/>
        <color rgb="FF000000"/>
        <rFont val="Arial"/>
        <family val="2"/>
      </rPr>
      <t xml:space="preserve"> These are standard layout and permitting projects. They currently consume the Principal’s time but </t>
    </r>
    <r>
      <rPr>
        <i/>
        <sz val="11"/>
        <color rgb="FF000000"/>
        <rFont val="Arial"/>
        <family val="2"/>
      </rPr>
      <t>could</t>
    </r>
    <r>
      <rPr>
        <sz val="11"/>
        <color rgb="FF000000"/>
        <rFont val="Arial"/>
        <family val="2"/>
      </rPr>
      <t xml:space="preserve"> be completely delegated to a Junior Engineer, leaving the Principal with only a final review bottleneck.</t>
    </r>
  </si>
  <si>
    <r>
      <t>Labor Constraint:</t>
    </r>
    <r>
      <rPr>
        <sz val="11"/>
        <color rgb="FF000000"/>
        <rFont val="Arial"/>
        <family val="2"/>
      </rPr>
      <t xml:space="preserve"> Requires </t>
    </r>
    <r>
      <rPr>
        <b/>
        <sz val="11"/>
        <color rgb="FF000000"/>
        <rFont val="Arial"/>
        <family val="2"/>
      </rPr>
      <t>16 hours</t>
    </r>
    <r>
      <rPr>
        <sz val="11"/>
        <color rgb="FF000000"/>
        <rFont val="Arial"/>
        <family val="2"/>
      </rPr>
      <t xml:space="preserve"> total. (Currently 16 hours of PE time; if delegated, it requires 14 hours of JE time and 2 hours of PE review time).</t>
    </r>
  </si>
  <si>
    <r>
      <t>Pricing:</t>
    </r>
    <r>
      <rPr>
        <sz val="11"/>
        <color rgb="FF000000"/>
        <rFont val="Arial"/>
        <family val="2"/>
      </rPr>
      <t xml:space="preserve"> Fixed fee of $1,600 per project.</t>
    </r>
  </si>
  <si>
    <t>2. The Financial Friction Layers (The "Messy" Data)</t>
  </si>
  <si>
    <t>The Revenue Cash Lag (The Retainer Model)</t>
  </si>
  <si>
    <t>The firm does not collect cash immediately. To protect against non-payment, the firm utilizes a strict milestone payment structure:</t>
  </si>
  <si>
    <r>
      <t>Month of Contract Signing (Month 0):</t>
    </r>
    <r>
      <rPr>
        <sz val="11"/>
        <color rgb="FF000000"/>
        <rFont val="Arial"/>
        <family val="2"/>
      </rPr>
      <t xml:space="preserve"> 30% upfront retainer collected.</t>
    </r>
  </si>
  <si>
    <r>
      <t>Month Following Signing (Month +1):</t>
    </r>
    <r>
      <rPr>
        <sz val="11"/>
        <color rgb="FF000000"/>
        <rFont val="Arial"/>
        <family val="2"/>
      </rPr>
      <t xml:space="preserve"> 40% collected upon draft submission.</t>
    </r>
  </si>
  <si>
    <r>
      <t>Two Months Post-Signing (Month +2):</t>
    </r>
    <r>
      <rPr>
        <sz val="11"/>
        <color rgb="FF000000"/>
        <rFont val="Arial"/>
        <family val="2"/>
      </rPr>
      <t xml:space="preserve"> 30% collected upon final municipal approval.</t>
    </r>
  </si>
  <si>
    <r>
      <t>The Managerial Problem:</t>
    </r>
    <r>
      <rPr>
        <sz val="11"/>
        <color rgb="FF000000"/>
        <rFont val="Arial"/>
        <family val="2"/>
      </rPr>
      <t xml:space="preserve"> If a massive wave of contracts is signed in January, the firm must incur the labor and software costs immediately, but 30% of the cash won't materialize until March.</t>
    </r>
  </si>
  <si>
    <t>Step-Cost Overhead Structure</t>
  </si>
  <si>
    <t>The firm’s monthly operating expenses do not behave linearly. They switch based on headcount:</t>
  </si>
  <si>
    <t>Expense Category</t>
  </si>
  <si>
    <t>Baseline (One-Man Show)</t>
  </si>
  <si>
    <t>Scaled Up (Hiring 1 Junior Engineer)</t>
  </si>
  <si>
    <t>Cost Behavior Type</t>
  </si>
  <si>
    <t>$12,000 / month</t>
  </si>
  <si>
    <t>Fixed</t>
  </si>
  <si>
    <t>Office/Admin Overhead</t>
  </si>
  <si>
    <t>$2,500 / month</t>
  </si>
  <si>
    <t>Engineering Software</t>
  </si>
  <si>
    <t>$300 / month (1 License)</t>
  </si>
  <si>
    <t>$600 / month (2 Licenses)</t>
  </si>
  <si>
    <t>Step-Fixed</t>
  </si>
  <si>
    <t>$0 / month</t>
  </si>
  <si>
    <t>$6,000 / month</t>
  </si>
  <si>
    <t>$500 / baseline</t>
  </si>
  <si>
    <t>Base + 2% of gross billings</t>
  </si>
  <si>
    <t>Mixed (Semi-Variable)</t>
  </si>
  <si>
    <t>Strategy Option</t>
  </si>
  <si>
    <t>June Principal Hours Required</t>
  </si>
  <si>
    <t>Strategy 1: Status Quo</t>
  </si>
  <si>
    <t>Strategy 2: Premium Pricing</t>
  </si>
  <si>
    <t>Strategy 3: Staff Expansion</t>
  </si>
  <si>
    <t>Standard Monthly Capacity Cap</t>
  </si>
  <si>
    <t>Strategy Net Income Trends</t>
  </si>
  <si>
    <t>SELECT ACTIVE STRATEGIC SCENARIO:</t>
  </si>
  <si>
    <t>Active Strategy Visual Engine</t>
  </si>
  <si>
    <t>Dynamic Monthly Revenue</t>
  </si>
  <si>
    <t>Dynamic Monthly Expenses</t>
  </si>
  <si>
    <t>Dynamic Montly Net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</si>
</sst>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 Unicode MS"/>
    </font>
    <font>
      <b/>
      <sz val="23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7"/>
      <color rgb="FF000000"/>
      <name val="Arial"/>
      <family val="2"/>
    </font>
    <font>
      <b/>
      <sz val="13"/>
      <color rgb="FF000000"/>
      <name val="Arial"/>
      <family val="2"/>
    </font>
    <font>
      <i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8" fillId="0" borderId="0" xfId="0" applyFont="1" applyAlignment="1">
      <alignment horizontal="left" vertical="center" indent="2"/>
    </xf>
    <xf numFmtId="0" fontId="4" fillId="0" borderId="0" xfId="0" applyFont="1" applyAlignment="1">
      <alignment horizontal="left" vertical="center" indent="5"/>
    </xf>
    <xf numFmtId="0" fontId="4" fillId="0" borderId="1" xfId="0" applyFont="1" applyBorder="1" applyAlignment="1">
      <alignment horizontal="left" vertical="center" wrapText="1" indent="1"/>
    </xf>
    <xf numFmtId="0" fontId="5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June Capacity Bottleneck Analysis: Principal Labor Hours vs. Capacity Cap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CALC_Revenue_Engine!$B$50</c:f>
              <c:strCache>
                <c:ptCount val="1"/>
                <c:pt idx="0">
                  <c:v>June Principal Hours Required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CALC_Revenue_Engine!$A$51:$A$53</c:f>
              <c:strCache>
                <c:ptCount val="3"/>
                <c:pt idx="0">
                  <c:v>Strategy 1: Status Quo</c:v>
                </c:pt>
                <c:pt idx="1">
                  <c:v>Strategy 2: Premium Pricing</c:v>
                </c:pt>
                <c:pt idx="2">
                  <c:v>Strategy 3: Staff Expansion</c:v>
                </c:pt>
              </c:strCache>
            </c:strRef>
          </c:cat>
          <c:val>
            <c:numRef>
              <c:f>CALC_Revenue_Engine!$B$51:$B$53</c:f>
              <c:numCache>
                <c:formatCode>General</c:formatCode>
                <c:ptCount val="3"/>
                <c:pt idx="0">
                  <c:v>186</c:v>
                </c:pt>
                <c:pt idx="1">
                  <c:v>186</c:v>
                </c:pt>
                <c:pt idx="2">
                  <c:v>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7F-4582-A392-F2B0E2069DDC}"/>
            </c:ext>
          </c:extLst>
        </c:ser>
        <c:ser>
          <c:idx val="1"/>
          <c:order val="1"/>
          <c:tx>
            <c:strRef>
              <c:f>CALC_Revenue_Engine!$C$50</c:f>
              <c:strCache>
                <c:ptCount val="1"/>
                <c:pt idx="0">
                  <c:v>Standard Monthly Capacity Cap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CALC_Revenue_Engine!$A$51:$A$53</c:f>
              <c:strCache>
                <c:ptCount val="3"/>
                <c:pt idx="0">
                  <c:v>Strategy 1: Status Quo</c:v>
                </c:pt>
                <c:pt idx="1">
                  <c:v>Strategy 2: Premium Pricing</c:v>
                </c:pt>
                <c:pt idx="2">
                  <c:v>Strategy 3: Staff Expansion</c:v>
                </c:pt>
              </c:strCache>
            </c:strRef>
          </c:cat>
          <c:val>
            <c:numRef>
              <c:f>CALC_Revenue_Engine!$C$51:$C$53</c:f>
              <c:numCache>
                <c:formatCode>General</c:formatCode>
                <c:ptCount val="3"/>
                <c:pt idx="0">
                  <c:v>160</c:v>
                </c:pt>
                <c:pt idx="1">
                  <c:v>160</c:v>
                </c:pt>
                <c:pt idx="2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7F-4582-A392-F2B0E2069D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37637440"/>
        <c:axId val="1819542592"/>
      </c:barChart>
      <c:catAx>
        <c:axId val="1637637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542592"/>
        <c:crosses val="autoZero"/>
        <c:auto val="1"/>
        <c:lblAlgn val="ctr"/>
        <c:lblOffset val="100"/>
        <c:noMultiLvlLbl val="0"/>
      </c:catAx>
      <c:valAx>
        <c:axId val="1819542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637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H1 Net Income Trajectory: Pricing Power vs. Overhead Expansion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CALC_Revenue_Engine!$A$57</c:f>
              <c:strCache>
                <c:ptCount val="1"/>
                <c:pt idx="0">
                  <c:v>Strategy 1: Status Quo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CALC_Revenue_Engine!$B$56:$G$56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CALC_Revenue_Engine!$B$57:$G$57</c:f>
              <c:numCache>
                <c:formatCode>General</c:formatCode>
                <c:ptCount val="6"/>
                <c:pt idx="0">
                  <c:v>2144</c:v>
                </c:pt>
                <c:pt idx="1">
                  <c:v>3712</c:v>
                </c:pt>
                <c:pt idx="2">
                  <c:v>9102</c:v>
                </c:pt>
                <c:pt idx="3">
                  <c:v>10670</c:v>
                </c:pt>
                <c:pt idx="4">
                  <c:v>13120</c:v>
                </c:pt>
                <c:pt idx="5">
                  <c:v>17628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2E-4A49-9506-C5B48F2C9FE4}"/>
            </c:ext>
          </c:extLst>
        </c:ser>
        <c:ser>
          <c:idx val="1"/>
          <c:order val="1"/>
          <c:tx>
            <c:strRef>
              <c:f>CALC_Revenue_Engine!$A$58</c:f>
              <c:strCache>
                <c:ptCount val="1"/>
                <c:pt idx="0">
                  <c:v>Strategy 2: Premium Pricing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CALC_Revenue_Engine!$B$56:$G$56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CALC_Revenue_Engine!$B$58:$G$58</c:f>
              <c:numCache>
                <c:formatCode>General</c:formatCode>
                <c:ptCount val="6"/>
                <c:pt idx="0">
                  <c:v>2634</c:v>
                </c:pt>
                <c:pt idx="1">
                  <c:v>4202</c:v>
                </c:pt>
                <c:pt idx="2">
                  <c:v>9592</c:v>
                </c:pt>
                <c:pt idx="3">
                  <c:v>11160</c:v>
                </c:pt>
                <c:pt idx="4">
                  <c:v>13610</c:v>
                </c:pt>
                <c:pt idx="5">
                  <c:v>18118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2E-4A49-9506-C5B48F2C9FE4}"/>
            </c:ext>
          </c:extLst>
        </c:ser>
        <c:ser>
          <c:idx val="2"/>
          <c:order val="2"/>
          <c:tx>
            <c:strRef>
              <c:f>CALC_Revenue_Engine!$A$59</c:f>
              <c:strCache>
                <c:ptCount val="1"/>
                <c:pt idx="0">
                  <c:v>Strategy 3: Staff Expansion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CALC_Revenue_Engine!$B$56:$G$56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CALC_Revenue_Engine!$B$59:$G$59</c:f>
              <c:numCache>
                <c:formatCode>General</c:formatCode>
                <c:ptCount val="6"/>
                <c:pt idx="0">
                  <c:v>-4156</c:v>
                </c:pt>
                <c:pt idx="1">
                  <c:v>-2588</c:v>
                </c:pt>
                <c:pt idx="2">
                  <c:v>2802</c:v>
                </c:pt>
                <c:pt idx="3">
                  <c:v>4370</c:v>
                </c:pt>
                <c:pt idx="4">
                  <c:v>6820</c:v>
                </c:pt>
                <c:pt idx="5">
                  <c:v>11328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52E-4A49-9506-C5B48F2C9F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5985488"/>
        <c:axId val="1819568032"/>
      </c:lineChart>
      <c:catAx>
        <c:axId val="1985985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568032"/>
        <c:crosses val="autoZero"/>
        <c:auto val="1"/>
        <c:lblAlgn val="ctr"/>
        <c:lblOffset val="100"/>
        <c:noMultiLvlLbl val="0"/>
      </c:catAx>
      <c:valAx>
        <c:axId val="181956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5985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Active Strategy Financial Profile: Monitored Monthly Performance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CALC_Revenue_Engine!$A$66</c:f>
              <c:strCache>
                <c:ptCount val="1"/>
                <c:pt idx="0">
                  <c:v>Dynamic Monthly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CALC_Revenue_Engine!$B$65:$G$65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CALC_Revenue_Engine!$B$66:$G$66</c:f>
              <c:numCache>
                <c:formatCode>General</c:formatCode>
                <c:ptCount val="6"/>
                <c:pt idx="0">
                  <c:v>18300</c:v>
                </c:pt>
                <c:pt idx="1">
                  <c:v>19900</c:v>
                </c:pt>
                <c:pt idx="2">
                  <c:v>25400</c:v>
                </c:pt>
                <c:pt idx="3">
                  <c:v>27000</c:v>
                </c:pt>
                <c:pt idx="4">
                  <c:v>29500</c:v>
                </c:pt>
                <c:pt idx="5">
                  <c:v>34100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3C-4C77-9ED5-A1815B0A58F1}"/>
            </c:ext>
          </c:extLst>
        </c:ser>
        <c:ser>
          <c:idx val="1"/>
          <c:order val="1"/>
          <c:tx>
            <c:strRef>
              <c:f>CALC_Revenue_Engine!$A$67</c:f>
              <c:strCache>
                <c:ptCount val="1"/>
                <c:pt idx="0">
                  <c:v>Dynamic Monthly 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CALC_Revenue_Engine!$B$65:$G$65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CALC_Revenue_Engine!$B$67:$G$67</c:f>
              <c:numCache>
                <c:formatCode>General</c:formatCode>
                <c:ptCount val="6"/>
                <c:pt idx="0">
                  <c:v>15666</c:v>
                </c:pt>
                <c:pt idx="1">
                  <c:v>15698</c:v>
                </c:pt>
                <c:pt idx="2">
                  <c:v>15808</c:v>
                </c:pt>
                <c:pt idx="3">
                  <c:v>15840</c:v>
                </c:pt>
                <c:pt idx="4">
                  <c:v>15890</c:v>
                </c:pt>
                <c:pt idx="5">
                  <c:v>15982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3C-4C77-9ED5-A1815B0A58F1}"/>
            </c:ext>
          </c:extLst>
        </c:ser>
        <c:ser>
          <c:idx val="2"/>
          <c:order val="2"/>
          <c:tx>
            <c:strRef>
              <c:f>CALC_Revenue_Engine!$A$68</c:f>
              <c:strCache>
                <c:ptCount val="1"/>
                <c:pt idx="0">
                  <c:v>Dynamic Montly Net Income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CALC_Revenue_Engine!$B$65:$G$65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CALC_Revenue_Engine!$B$68:$G$68</c:f>
              <c:numCache>
                <c:formatCode>General</c:formatCode>
                <c:ptCount val="6"/>
                <c:pt idx="0">
                  <c:v>2634</c:v>
                </c:pt>
                <c:pt idx="1">
                  <c:v>4202</c:v>
                </c:pt>
                <c:pt idx="2">
                  <c:v>9592</c:v>
                </c:pt>
                <c:pt idx="3">
                  <c:v>11160</c:v>
                </c:pt>
                <c:pt idx="4">
                  <c:v>13610</c:v>
                </c:pt>
                <c:pt idx="5">
                  <c:v>18118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3C-4C77-9ED5-A1815B0A58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2926576"/>
        <c:axId val="1819563712"/>
      </c:lineChart>
      <c:catAx>
        <c:axId val="2092926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563712"/>
        <c:crosses val="autoZero"/>
        <c:auto val="1"/>
        <c:lblAlgn val="ctr"/>
        <c:lblOffset val="100"/>
        <c:noMultiLvlLbl val="0"/>
      </c:catAx>
      <c:valAx>
        <c:axId val="181956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2926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350520</xdr:colOff>
      <xdr:row>18</xdr:row>
      <xdr:rowOff>160020</xdr:rowOff>
    </xdr:from>
    <xdr:to>
      <xdr:col>5</xdr:col>
      <xdr:colOff>259080</xdr:colOff>
      <xdr:row>33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B43AA9-1370-471E-A19E-63780C8416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83820</xdr:colOff>
      <xdr:row>18</xdr:row>
      <xdr:rowOff>160020</xdr:rowOff>
    </xdr:from>
    <xdr:to>
      <xdr:col>13</xdr:col>
      <xdr:colOff>388620</xdr:colOff>
      <xdr:row>33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E34C70-C258-4A7F-8006-17AF43DDD4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502920</xdr:colOff>
      <xdr:row>2</xdr:row>
      <xdr:rowOff>45720</xdr:rowOff>
    </xdr:from>
    <xdr:to>
      <xdr:col>5</xdr:col>
      <xdr:colOff>411480</xdr:colOff>
      <xdr:row>17</xdr:row>
      <xdr:rowOff>45720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C0C0712-060D-4AF0-B6D0-4856DE9461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950F1-A48E-4238-8E92-63DEFCDD8484}">
  <dimension ref="A1:B1"/>
  <sheetViews>
    <sheetView tabSelected="1" workbookViewId="0"/>
  </sheetViews>
  <sheetFormatPr defaultRowHeight="14.4"/>
  <cols>
    <col min="1" max="1" width="32.44140625" bestFit="1" customWidth="1"/>
  </cols>
  <sheetData>
    <row r="1" spans="1:2">
      <c r="A1" t="s">
        <v>121</v>
      </c>
      <c r="B1">
        <v>2</v>
      </c>
    </row>
  </sheetData>
  <dataValidations count="1">
    <dataValidation type="list" allowBlank="1" showInputMessage="1" showErrorMessage="1" sqref="B1" xr:uid="{0F156CB7-CBDD-488D-9F46-C912A167E05C}">
      <formula1>"1, 2, 3"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23097-DE16-4391-8702-2E484A9526F2}">
  <dimension ref="A1:D37"/>
  <sheetViews>
    <sheetView topLeftCell="A24" workbookViewId="0">
      <selection activeCell="A32" sqref="A32:XFD32"/>
    </sheetView>
  </sheetViews>
  <sheetFormatPr defaultRowHeight="14.4"/>
  <cols>
    <col min="1" max="1" width="15.33203125" customWidth="1"/>
    <col min="2" max="2" width="16.21875" customWidth="1"/>
    <col min="3" max="3" width="20.33203125" customWidth="1"/>
    <col min="4" max="4" width="19" customWidth="1"/>
  </cols>
  <sheetData>
    <row r="1" spans="1:1" ht="28.8">
      <c r="A1" s="2" t="s">
        <v>68</v>
      </c>
    </row>
    <row r="2" spans="1:1">
      <c r="A2" s="3" t="s">
        <v>69</v>
      </c>
    </row>
    <row r="3" spans="1:1">
      <c r="A3" s="3" t="s">
        <v>70</v>
      </c>
    </row>
    <row r="4" spans="1:1">
      <c r="A4" s="3" t="s">
        <v>71</v>
      </c>
    </row>
    <row r="5" spans="1:1" ht="21.6">
      <c r="A5" s="4" t="s">
        <v>72</v>
      </c>
    </row>
    <row r="6" spans="1:1">
      <c r="A6" s="5" t="s">
        <v>73</v>
      </c>
    </row>
    <row r="7" spans="1:1" ht="16.8">
      <c r="A7" s="6" t="s">
        <v>74</v>
      </c>
    </row>
    <row r="8" spans="1:1">
      <c r="A8" s="5" t="s">
        <v>75</v>
      </c>
    </row>
    <row r="9" spans="1:1">
      <c r="A9" s="5" t="s">
        <v>76</v>
      </c>
    </row>
    <row r="10" spans="1:1">
      <c r="A10" s="5" t="s">
        <v>77</v>
      </c>
    </row>
    <row r="11" spans="1:1">
      <c r="A11" s="5" t="s">
        <v>78</v>
      </c>
    </row>
    <row r="12" spans="1:1">
      <c r="A12" s="5" t="s">
        <v>79</v>
      </c>
    </row>
    <row r="13" spans="1:1">
      <c r="A13" s="5" t="s">
        <v>77</v>
      </c>
    </row>
    <row r="14" spans="1:1">
      <c r="A14" s="5" t="s">
        <v>80</v>
      </c>
    </row>
    <row r="15" spans="1:1">
      <c r="A15" s="5" t="s">
        <v>81</v>
      </c>
    </row>
    <row r="16" spans="1:1">
      <c r="A16" s="7"/>
    </row>
    <row r="17" spans="1:4">
      <c r="A17" s="8" t="s">
        <v>82</v>
      </c>
    </row>
    <row r="18" spans="1:4">
      <c r="A18" s="9" t="s">
        <v>83</v>
      </c>
    </row>
    <row r="19" spans="1:4">
      <c r="A19" s="9" t="s">
        <v>84</v>
      </c>
    </row>
    <row r="20" spans="1:4">
      <c r="A20" s="8" t="s">
        <v>85</v>
      </c>
    </row>
    <row r="21" spans="1:4">
      <c r="A21" s="9" t="s">
        <v>86</v>
      </c>
    </row>
    <row r="22" spans="1:4">
      <c r="A22" s="9" t="s">
        <v>87</v>
      </c>
    </row>
    <row r="23" spans="1:4" ht="21.6">
      <c r="A23" s="4" t="s">
        <v>88</v>
      </c>
    </row>
    <row r="24" spans="1:4" ht="16.8">
      <c r="A24" s="6" t="s">
        <v>89</v>
      </c>
    </row>
    <row r="25" spans="1:4">
      <c r="A25" s="5" t="s">
        <v>90</v>
      </c>
    </row>
    <row r="26" spans="1:4">
      <c r="A26" s="8" t="s">
        <v>91</v>
      </c>
    </row>
    <row r="27" spans="1:4">
      <c r="A27" s="8" t="s">
        <v>92</v>
      </c>
    </row>
    <row r="28" spans="1:4">
      <c r="A28" s="8" t="s">
        <v>93</v>
      </c>
    </row>
    <row r="29" spans="1:4">
      <c r="A29" s="10" t="s">
        <v>94</v>
      </c>
    </row>
    <row r="30" spans="1:4" ht="16.8">
      <c r="A30" s="6" t="s">
        <v>95</v>
      </c>
    </row>
    <row r="31" spans="1:4">
      <c r="A31" s="5" t="s">
        <v>96</v>
      </c>
    </row>
    <row r="32" spans="1:4" ht="27.6">
      <c r="A32" s="11" t="s">
        <v>97</v>
      </c>
      <c r="B32" s="11" t="s">
        <v>98</v>
      </c>
      <c r="C32" s="11" t="s">
        <v>99</v>
      </c>
      <c r="D32" s="11" t="s">
        <v>100</v>
      </c>
    </row>
    <row r="33" spans="1:4" ht="27.6">
      <c r="A33" s="11" t="s">
        <v>5</v>
      </c>
      <c r="B33" s="12" t="s">
        <v>101</v>
      </c>
      <c r="C33" s="12" t="s">
        <v>101</v>
      </c>
      <c r="D33" s="12" t="s">
        <v>102</v>
      </c>
    </row>
    <row r="34" spans="1:4" ht="27.6">
      <c r="A34" s="11" t="s">
        <v>103</v>
      </c>
      <c r="B34" s="12" t="s">
        <v>104</v>
      </c>
      <c r="C34" s="12" t="s">
        <v>104</v>
      </c>
      <c r="D34" s="12" t="s">
        <v>102</v>
      </c>
    </row>
    <row r="35" spans="1:4" ht="27.6">
      <c r="A35" s="11" t="s">
        <v>105</v>
      </c>
      <c r="B35" s="12" t="s">
        <v>106</v>
      </c>
      <c r="C35" s="12" t="s">
        <v>107</v>
      </c>
      <c r="D35" s="11" t="s">
        <v>108</v>
      </c>
    </row>
    <row r="36" spans="1:4" ht="41.4">
      <c r="A36" s="11" t="s">
        <v>64</v>
      </c>
      <c r="B36" s="12" t="s">
        <v>109</v>
      </c>
      <c r="C36" s="12" t="s">
        <v>110</v>
      </c>
      <c r="D36" s="11" t="s">
        <v>108</v>
      </c>
    </row>
    <row r="37" spans="1:4" ht="41.4">
      <c r="A37" s="11" t="s">
        <v>65</v>
      </c>
      <c r="B37" s="12" t="s">
        <v>111</v>
      </c>
      <c r="C37" s="12" t="s">
        <v>112</v>
      </c>
      <c r="D37" s="11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5F051-DE70-41D7-88B0-064ED5D651BC}">
  <dimension ref="A1:I6"/>
  <sheetViews>
    <sheetView topLeftCell="B1" workbookViewId="0">
      <selection activeCell="G11" sqref="G11"/>
    </sheetView>
  </sheetViews>
  <sheetFormatPr defaultRowHeight="14.4"/>
  <cols>
    <col min="1" max="1" width="26.88671875" bestFit="1" customWidth="1"/>
    <col min="2" max="2" width="24" bestFit="1" customWidth="1"/>
    <col min="5" max="5" width="22.109375" bestFit="1" customWidth="1"/>
    <col min="6" max="6" width="18.88671875" bestFit="1" customWidth="1"/>
    <col min="8" max="8" width="29" bestFit="1" customWidth="1"/>
  </cols>
  <sheetData>
    <row r="1" spans="1:9">
      <c r="A1" t="s">
        <v>0</v>
      </c>
      <c r="B1" t="s">
        <v>7</v>
      </c>
      <c r="C1" t="s">
        <v>8</v>
      </c>
      <c r="E1" t="s">
        <v>9</v>
      </c>
      <c r="F1" t="s">
        <v>10</v>
      </c>
      <c r="H1" t="s">
        <v>15</v>
      </c>
      <c r="I1" t="s">
        <v>16</v>
      </c>
    </row>
    <row r="2" spans="1:9">
      <c r="A2" t="s">
        <v>1</v>
      </c>
      <c r="B2">
        <v>2500</v>
      </c>
      <c r="C2">
        <v>1600</v>
      </c>
      <c r="E2" t="s">
        <v>11</v>
      </c>
      <c r="F2">
        <v>0.3</v>
      </c>
      <c r="H2" t="s">
        <v>17</v>
      </c>
      <c r="I2">
        <v>12000</v>
      </c>
    </row>
    <row r="3" spans="1:9">
      <c r="A3" t="s">
        <v>2</v>
      </c>
      <c r="B3">
        <v>1.2</v>
      </c>
      <c r="C3">
        <v>1</v>
      </c>
      <c r="E3" t="s">
        <v>12</v>
      </c>
      <c r="F3">
        <v>0.4</v>
      </c>
      <c r="H3" t="s">
        <v>18</v>
      </c>
      <c r="I3">
        <v>2500</v>
      </c>
    </row>
    <row r="4" spans="1:9">
      <c r="A4" t="s">
        <v>3</v>
      </c>
      <c r="B4">
        <v>10</v>
      </c>
      <c r="C4">
        <v>16</v>
      </c>
      <c r="E4" t="s">
        <v>13</v>
      </c>
      <c r="F4">
        <v>0.3</v>
      </c>
      <c r="H4" t="s">
        <v>19</v>
      </c>
      <c r="I4">
        <v>300</v>
      </c>
    </row>
    <row r="5" spans="1:9">
      <c r="A5" t="s">
        <v>4</v>
      </c>
      <c r="B5">
        <v>0</v>
      </c>
      <c r="C5">
        <v>14</v>
      </c>
      <c r="E5" t="s">
        <v>14</v>
      </c>
      <c r="F5">
        <f>SUM(F2:F4)</f>
        <v>1</v>
      </c>
      <c r="H5" t="s">
        <v>20</v>
      </c>
      <c r="I5">
        <v>6000</v>
      </c>
    </row>
    <row r="6" spans="1:9">
      <c r="H6" t="s">
        <v>6</v>
      </c>
      <c r="I6">
        <v>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2BD11-840B-4DEE-A6C1-22EAB467FB43}">
  <dimension ref="A1:M68"/>
  <sheetViews>
    <sheetView topLeftCell="A45" workbookViewId="0">
      <selection activeCell="G68" sqref="G68"/>
    </sheetView>
  </sheetViews>
  <sheetFormatPr defaultRowHeight="14.4"/>
  <cols>
    <col min="1" max="1" width="52.21875" bestFit="1" customWidth="1"/>
  </cols>
  <sheetData>
    <row r="1" spans="1:13">
      <c r="A1" t="s">
        <v>21</v>
      </c>
    </row>
    <row r="3" spans="1:13"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  <c r="M3" t="s">
        <v>33</v>
      </c>
    </row>
    <row r="5" spans="1:13">
      <c r="A5" t="s">
        <v>34</v>
      </c>
      <c r="B5">
        <v>4</v>
      </c>
      <c r="C5">
        <v>4</v>
      </c>
      <c r="D5">
        <v>5</v>
      </c>
      <c r="E5">
        <v>5</v>
      </c>
      <c r="F5">
        <v>6</v>
      </c>
      <c r="G5">
        <v>6</v>
      </c>
    </row>
    <row r="6" spans="1:13">
      <c r="A6" t="s">
        <v>35</v>
      </c>
      <c r="B6">
        <v>1</v>
      </c>
      <c r="C6">
        <v>1</v>
      </c>
      <c r="D6">
        <v>2</v>
      </c>
      <c r="E6">
        <v>2</v>
      </c>
      <c r="F6">
        <v>2</v>
      </c>
      <c r="G6">
        <v>3</v>
      </c>
    </row>
    <row r="7" spans="1:13">
      <c r="A7" t="s">
        <v>36</v>
      </c>
      <c r="B7">
        <v>3</v>
      </c>
      <c r="C7">
        <v>4</v>
      </c>
      <c r="D7">
        <v>4</v>
      </c>
      <c r="E7">
        <v>5</v>
      </c>
      <c r="F7">
        <v>5</v>
      </c>
      <c r="G7">
        <v>6</v>
      </c>
    </row>
    <row r="8" spans="1:13">
      <c r="A8" t="s">
        <v>37</v>
      </c>
      <c r="B8">
        <f>SUM(B5:B7)</f>
        <v>8</v>
      </c>
      <c r="C8">
        <f t="shared" ref="C8:M8" si="0">SUM(C5:C7)</f>
        <v>9</v>
      </c>
      <c r="D8">
        <f t="shared" si="0"/>
        <v>11</v>
      </c>
      <c r="E8">
        <f t="shared" si="0"/>
        <v>12</v>
      </c>
      <c r="F8">
        <f t="shared" si="0"/>
        <v>13</v>
      </c>
      <c r="G8">
        <f t="shared" si="0"/>
        <v>15</v>
      </c>
      <c r="H8">
        <f t="shared" si="0"/>
        <v>0</v>
      </c>
      <c r="I8">
        <f t="shared" si="0"/>
        <v>0</v>
      </c>
      <c r="J8">
        <f t="shared" si="0"/>
        <v>0</v>
      </c>
      <c r="K8">
        <f t="shared" si="0"/>
        <v>0</v>
      </c>
      <c r="L8">
        <f t="shared" si="0"/>
        <v>0</v>
      </c>
      <c r="M8">
        <f t="shared" si="0"/>
        <v>0</v>
      </c>
    </row>
    <row r="10" spans="1:13">
      <c r="A10" t="s">
        <v>38</v>
      </c>
    </row>
    <row r="11" spans="1:13">
      <c r="A11" t="s">
        <v>39</v>
      </c>
      <c r="B11">
        <f>((B5*INPUT_Control_Panel!$B$2)+(B6*INPUT_Control_Panel!$B$2*INPUT_Control_Panel!$B$3)+(B7*INPUT_Control_Panel!$C$2))*INPUT_Control_Panel!$F$2</f>
        <v>5340</v>
      </c>
      <c r="C11">
        <f>((C5*INPUT_Control_Panel!$B$2)+(C6*INPUT_Control_Panel!$B$2*INPUT_Control_Panel!$B$3)+(C7*INPUT_Control_Panel!$C$2))*INPUT_Control_Panel!$F$2</f>
        <v>5820</v>
      </c>
      <c r="D11">
        <f>((D5*INPUT_Control_Panel!$B$2)+(D6*INPUT_Control_Panel!$B$2*INPUT_Control_Panel!$B$3)+(D7*INPUT_Control_Panel!$C$2))*INPUT_Control_Panel!$F$2</f>
        <v>7470</v>
      </c>
      <c r="E11">
        <f>((E5*INPUT_Control_Panel!$B$2)+(E6*INPUT_Control_Panel!$B$2*INPUT_Control_Panel!$B$3)+(E7*INPUT_Control_Panel!$C$2))*INPUT_Control_Panel!$F$2</f>
        <v>7950</v>
      </c>
      <c r="F11">
        <f>((F5*INPUT_Control_Panel!$B$2)+(F6*INPUT_Control_Panel!$B$2*INPUT_Control_Panel!$B$3)+(F7*INPUT_Control_Panel!$C$2))*INPUT_Control_Panel!$F$2</f>
        <v>8700</v>
      </c>
      <c r="G11">
        <f>((G5*INPUT_Control_Panel!$B$2)+(G6*INPUT_Control_Panel!$B$2*INPUT_Control_Panel!$B$3)+(G7*INPUT_Control_Panel!$C$2))*INPUT_Control_Panel!$F$2</f>
        <v>10080</v>
      </c>
      <c r="H11">
        <f>((H5*INPUT_Control_Panel!$B$2)+(H6*INPUT_Control_Panel!$B$2*INPUT_Control_Panel!$B$3)+(H7*INPUT_Control_Panel!$C$2))*INPUT_Control_Panel!$F$2</f>
        <v>0</v>
      </c>
      <c r="I11">
        <f>((I5*INPUT_Control_Panel!$B$2)+(I6*INPUT_Control_Panel!$B$2*INPUT_Control_Panel!$B$3)+(I7*INPUT_Control_Panel!$C$2))*INPUT_Control_Panel!$F$2</f>
        <v>0</v>
      </c>
      <c r="J11">
        <f>((J5*INPUT_Control_Panel!$B$2)+(J6*INPUT_Control_Panel!$B$2*INPUT_Control_Panel!$B$3)+(J7*INPUT_Control_Panel!$C$2))*INPUT_Control_Panel!$F$2</f>
        <v>0</v>
      </c>
      <c r="K11">
        <f>((K5*INPUT_Control_Panel!$B$2)+(K6*INPUT_Control_Panel!$B$2*INPUT_Control_Panel!$B$3)+(K7*INPUT_Control_Panel!$C$2))*INPUT_Control_Panel!$F$2</f>
        <v>0</v>
      </c>
      <c r="L11">
        <f>((L5*INPUT_Control_Panel!$B$2)+(L6*INPUT_Control_Panel!$B$2*INPUT_Control_Panel!$B$3)+(L7*INPUT_Control_Panel!$C$2))*INPUT_Control_Panel!$F$2</f>
        <v>0</v>
      </c>
      <c r="M11">
        <f>((M5*INPUT_Control_Panel!$B$2)+(M6*INPUT_Control_Panel!$B$2*INPUT_Control_Panel!$B$3)+(M7*INPUT_Control_Panel!$C$2))*INPUT_Control_Panel!$F$2</f>
        <v>0</v>
      </c>
    </row>
    <row r="12" spans="1:13">
      <c r="A12" t="s">
        <v>40</v>
      </c>
      <c r="B12">
        <f>((B5*INPUT_Control_Panel!$B$2)+(B6*INPUT_Control_Panel!$B$2*INPUT_Control_Panel!$B$3)+(B7*INPUT_Control_Panel!$C$2))*INPUT_Control_Panel!$F$3</f>
        <v>7120</v>
      </c>
      <c r="C12">
        <f>((C5*INPUT_Control_Panel!$B$2)+(C6*INPUT_Control_Panel!$B$2*INPUT_Control_Panel!$B$3)+(C7*INPUT_Control_Panel!$C$2))*INPUT_Control_Panel!$F$3</f>
        <v>7760</v>
      </c>
      <c r="D12">
        <f>((D5*INPUT_Control_Panel!$B$2)+(D6*INPUT_Control_Panel!$B$2*INPUT_Control_Panel!$B$3)+(D7*INPUT_Control_Panel!$C$2))*INPUT_Control_Panel!$F$3</f>
        <v>9960</v>
      </c>
      <c r="E12">
        <f>((E5*INPUT_Control_Panel!$B$2)+(E6*INPUT_Control_Panel!$B$2*INPUT_Control_Panel!$B$3)+(E7*INPUT_Control_Panel!$C$2))*INPUT_Control_Panel!$F$3</f>
        <v>10600</v>
      </c>
      <c r="F12">
        <f>((F5*INPUT_Control_Panel!$B$2)+(F6*INPUT_Control_Panel!$B$2*INPUT_Control_Panel!$B$3)+(F7*INPUT_Control_Panel!$C$2))*INPUT_Control_Panel!$F$3</f>
        <v>11600</v>
      </c>
      <c r="G12">
        <f>((G5*INPUT_Control_Panel!$B$2)+(G6*INPUT_Control_Panel!$B$2*INPUT_Control_Panel!$B$3)+(G7*INPUT_Control_Panel!$C$2))*INPUT_Control_Panel!$F$3</f>
        <v>13440</v>
      </c>
      <c r="H12">
        <f>((H5*INPUT_Control_Panel!$B$2)+(H6*INPUT_Control_Panel!$B$2*INPUT_Control_Panel!$B$3)+(H7*INPUT_Control_Panel!$C$2))*INPUT_Control_Panel!$F$3</f>
        <v>0</v>
      </c>
      <c r="I12">
        <f>((I5*INPUT_Control_Panel!$B$2)+(I6*INPUT_Control_Panel!$B$2*INPUT_Control_Panel!$B$3)+(I7*INPUT_Control_Panel!$C$2))*INPUT_Control_Panel!$F$3</f>
        <v>0</v>
      </c>
      <c r="J12">
        <f>((J5*INPUT_Control_Panel!$B$2)+(J6*INPUT_Control_Panel!$B$2*INPUT_Control_Panel!$B$3)+(J7*INPUT_Control_Panel!$C$2))*INPUT_Control_Panel!$F$3</f>
        <v>0</v>
      </c>
      <c r="K12">
        <f>((K5*INPUT_Control_Panel!$B$2)+(K6*INPUT_Control_Panel!$B$2*INPUT_Control_Panel!$B$3)+(K7*INPUT_Control_Panel!$C$2))*INPUT_Control_Panel!$F$3</f>
        <v>0</v>
      </c>
      <c r="L12">
        <f>((L5*INPUT_Control_Panel!$B$2)+(L6*INPUT_Control_Panel!$B$2*INPUT_Control_Panel!$B$3)+(L7*INPUT_Control_Panel!$C$2))*INPUT_Control_Panel!$F$3</f>
        <v>0</v>
      </c>
      <c r="M12">
        <f>((M5*INPUT_Control_Panel!$B$2)+(M6*INPUT_Control_Panel!$B$2*INPUT_Control_Panel!$B$3)+(M7*INPUT_Control_Panel!$C$2))*INPUT_Control_Panel!$F$3</f>
        <v>0</v>
      </c>
    </row>
    <row r="13" spans="1:13">
      <c r="A13" t="s">
        <v>41</v>
      </c>
      <c r="B13">
        <f>((B5*INPUT_Control_Panel!$B$2)+(B6*INPUT_Control_Panel!$B$2*INPUT_Control_Panel!$B$3)+(B7*INPUT_Control_Panel!$C$2))*INPUT_Control_Panel!$F$4</f>
        <v>5340</v>
      </c>
      <c r="C13">
        <f>((C5*INPUT_Control_Panel!$B$2)+(C6*INPUT_Control_Panel!$B$2*INPUT_Control_Panel!$B$3)+(C7*INPUT_Control_Panel!$C$2))*INPUT_Control_Panel!$F$4</f>
        <v>5820</v>
      </c>
      <c r="D13">
        <f>((D5*INPUT_Control_Panel!$B$2)+(D6*INPUT_Control_Panel!$B$2*INPUT_Control_Panel!$B$3)+(D7*INPUT_Control_Panel!$C$2))*INPUT_Control_Panel!$F$4</f>
        <v>7470</v>
      </c>
      <c r="E13">
        <f>((E5*INPUT_Control_Panel!$B$2)+(E6*INPUT_Control_Panel!$B$2*INPUT_Control_Panel!$B$3)+(E7*INPUT_Control_Panel!$C$2))*INPUT_Control_Panel!$F$4</f>
        <v>7950</v>
      </c>
      <c r="F13">
        <f>((F5*INPUT_Control_Panel!$B$2)+(F6*INPUT_Control_Panel!$B$2*INPUT_Control_Panel!$B$3)+(F7*INPUT_Control_Panel!$C$2))*INPUT_Control_Panel!$F$4</f>
        <v>8700</v>
      </c>
      <c r="G13">
        <f>((G5*INPUT_Control_Panel!$B$2)+(G6*INPUT_Control_Panel!$B$2*INPUT_Control_Panel!$B$3)+(G7*INPUT_Control_Panel!$C$2))*INPUT_Control_Panel!$F$4</f>
        <v>10080</v>
      </c>
      <c r="H13">
        <f>((H5*INPUT_Control_Panel!$B$2)+(H6*INPUT_Control_Panel!$B$2*INPUT_Control_Panel!$B$3)+(H7*INPUT_Control_Panel!$C$2))*INPUT_Control_Panel!$F$4</f>
        <v>0</v>
      </c>
      <c r="I13">
        <f>((I5*INPUT_Control_Panel!$B$2)+(I6*INPUT_Control_Panel!$B$2*INPUT_Control_Panel!$B$3)+(I7*INPUT_Control_Panel!$C$2))*INPUT_Control_Panel!$F$4</f>
        <v>0</v>
      </c>
      <c r="J13">
        <f>((J5*INPUT_Control_Panel!$B$2)+(J6*INPUT_Control_Panel!$B$2*INPUT_Control_Panel!$B$3)+(J7*INPUT_Control_Panel!$C$2))*INPUT_Control_Panel!$F$4</f>
        <v>0</v>
      </c>
      <c r="K13">
        <f>((K5*INPUT_Control_Panel!$B$2)+(K6*INPUT_Control_Panel!$B$2*INPUT_Control_Panel!$B$3)+(K7*INPUT_Control_Panel!$C$2))*INPUT_Control_Panel!$F$4</f>
        <v>0</v>
      </c>
      <c r="L13">
        <f>((L5*INPUT_Control_Panel!$B$2)+(L6*INPUT_Control_Panel!$B$2*INPUT_Control_Panel!$B$3)+(L7*INPUT_Control_Panel!$C$2))*INPUT_Control_Panel!$F$4</f>
        <v>0</v>
      </c>
      <c r="M13">
        <f>((M5*INPUT_Control_Panel!$B$2)+(M6*INPUT_Control_Panel!$B$2*INPUT_Control_Panel!$B$3)+(M7*INPUT_Control_Panel!$C$2))*INPUT_Control_Panel!$F$4</f>
        <v>0</v>
      </c>
    </row>
    <row r="14" spans="1:13">
      <c r="A14" t="s">
        <v>42</v>
      </c>
      <c r="B14">
        <f>SUM(B11:B13)</f>
        <v>17800</v>
      </c>
      <c r="C14">
        <f t="shared" ref="C14:M14" si="1">SUM(C11:C13)</f>
        <v>19400</v>
      </c>
      <c r="D14">
        <f t="shared" si="1"/>
        <v>24900</v>
      </c>
      <c r="E14">
        <f t="shared" si="1"/>
        <v>26500</v>
      </c>
      <c r="F14">
        <f t="shared" si="1"/>
        <v>29000</v>
      </c>
      <c r="G14">
        <f t="shared" si="1"/>
        <v>33600</v>
      </c>
      <c r="H14">
        <f t="shared" si="1"/>
        <v>0</v>
      </c>
      <c r="I14">
        <f t="shared" si="1"/>
        <v>0</v>
      </c>
      <c r="J14">
        <f t="shared" si="1"/>
        <v>0</v>
      </c>
      <c r="K14">
        <f t="shared" si="1"/>
        <v>0</v>
      </c>
      <c r="L14">
        <f t="shared" si="1"/>
        <v>0</v>
      </c>
      <c r="M14">
        <f t="shared" si="1"/>
        <v>0</v>
      </c>
    </row>
    <row r="16" spans="1:13">
      <c r="A16" t="s">
        <v>43</v>
      </c>
    </row>
    <row r="17" spans="1:13">
      <c r="A17" t="s">
        <v>44</v>
      </c>
      <c r="B17">
        <f>B5 * INPUT_Control_Panel!$B$4</f>
        <v>40</v>
      </c>
      <c r="C17">
        <f>C5 * INPUT_Control_Panel!$B$4</f>
        <v>40</v>
      </c>
      <c r="D17">
        <f>D5 * INPUT_Control_Panel!$B$4</f>
        <v>50</v>
      </c>
      <c r="E17">
        <f>E5 * INPUT_Control_Panel!$B$4</f>
        <v>50</v>
      </c>
      <c r="F17">
        <f>F5 * INPUT_Control_Panel!$B$4</f>
        <v>60</v>
      </c>
      <c r="G17">
        <f>G5 * INPUT_Control_Panel!$B$4</f>
        <v>60</v>
      </c>
      <c r="H17">
        <f>H5 * INPUT_Control_Panel!$B$4</f>
        <v>0</v>
      </c>
      <c r="I17">
        <f>I5 * INPUT_Control_Panel!$B$4</f>
        <v>0</v>
      </c>
      <c r="J17">
        <f>J5 * INPUT_Control_Panel!$B$4</f>
        <v>0</v>
      </c>
      <c r="K17">
        <f>K5 * INPUT_Control_Panel!$B$4</f>
        <v>0</v>
      </c>
      <c r="L17">
        <f>L5 * INPUT_Control_Panel!$B$4</f>
        <v>0</v>
      </c>
      <c r="M17">
        <f>M5 * INPUT_Control_Panel!$B$4</f>
        <v>0</v>
      </c>
    </row>
    <row r="18" spans="1:13">
      <c r="A18" t="s">
        <v>45</v>
      </c>
      <c r="B18">
        <f>B6 * INPUT_Control_Panel!$B$4</f>
        <v>10</v>
      </c>
      <c r="C18">
        <f>C6 * INPUT_Control_Panel!$B$4</f>
        <v>10</v>
      </c>
      <c r="D18">
        <f>D6 * INPUT_Control_Panel!$B$4</f>
        <v>20</v>
      </c>
      <c r="E18">
        <f>E6 * INPUT_Control_Panel!$B$4</f>
        <v>20</v>
      </c>
      <c r="F18">
        <f>F6 * INPUT_Control_Panel!$B$4</f>
        <v>20</v>
      </c>
      <c r="G18">
        <f>G6 * INPUT_Control_Panel!$B$4</f>
        <v>30</v>
      </c>
      <c r="H18">
        <f>H6 * INPUT_Control_Panel!$B$4</f>
        <v>0</v>
      </c>
      <c r="I18">
        <f>I6 * INPUT_Control_Panel!$B$4</f>
        <v>0</v>
      </c>
      <c r="J18">
        <f>J6 * INPUT_Control_Panel!$B$4</f>
        <v>0</v>
      </c>
      <c r="K18">
        <f>K6 * INPUT_Control_Panel!$B$4</f>
        <v>0</v>
      </c>
      <c r="L18">
        <f>L6 * INPUT_Control_Panel!$B$4</f>
        <v>0</v>
      </c>
      <c r="M18">
        <f>M6 * INPUT_Control_Panel!$B$4</f>
        <v>0</v>
      </c>
    </row>
    <row r="19" spans="1:13">
      <c r="A19" t="s">
        <v>46</v>
      </c>
      <c r="B19">
        <f>B7 * INPUT_Control_Panel!$C$4</f>
        <v>48</v>
      </c>
      <c r="C19">
        <f>C7 * INPUT_Control_Panel!$C$4</f>
        <v>64</v>
      </c>
      <c r="D19">
        <f>D7 * INPUT_Control_Panel!$C$4</f>
        <v>64</v>
      </c>
      <c r="E19">
        <f>E7 * INPUT_Control_Panel!$C$4</f>
        <v>80</v>
      </c>
      <c r="F19">
        <f>F7 * INPUT_Control_Panel!$C$4</f>
        <v>80</v>
      </c>
      <c r="G19">
        <f>G7 * INPUT_Control_Panel!$C$4</f>
        <v>96</v>
      </c>
      <c r="H19">
        <f>H7 * INPUT_Control_Panel!$C$4</f>
        <v>0</v>
      </c>
      <c r="I19">
        <f>I7 * INPUT_Control_Panel!$C$4</f>
        <v>0</v>
      </c>
      <c r="J19">
        <f>J7 * INPUT_Control_Panel!$C$4</f>
        <v>0</v>
      </c>
      <c r="K19">
        <f>K7 * INPUT_Control_Panel!$C$4</f>
        <v>0</v>
      </c>
      <c r="L19">
        <f>L7 * INPUT_Control_Panel!$C$4</f>
        <v>0</v>
      </c>
      <c r="M19">
        <f>M7 * INPUT_Control_Panel!$C$4</f>
        <v>0</v>
      </c>
    </row>
    <row r="20" spans="1:13">
      <c r="A20" s="1" t="s">
        <v>47</v>
      </c>
      <c r="B20">
        <f>SUM(B17:B19)</f>
        <v>98</v>
      </c>
      <c r="C20">
        <f t="shared" ref="C20:M20" si="2">SUM(C17:C19)</f>
        <v>114</v>
      </c>
      <c r="D20">
        <f t="shared" si="2"/>
        <v>134</v>
      </c>
      <c r="E20">
        <f t="shared" si="2"/>
        <v>150</v>
      </c>
      <c r="F20">
        <f t="shared" si="2"/>
        <v>160</v>
      </c>
      <c r="G20">
        <f t="shared" si="2"/>
        <v>186</v>
      </c>
      <c r="H20">
        <f t="shared" si="2"/>
        <v>0</v>
      </c>
      <c r="I20">
        <f t="shared" si="2"/>
        <v>0</v>
      </c>
      <c r="J20">
        <f t="shared" si="2"/>
        <v>0</v>
      </c>
      <c r="K20">
        <f t="shared" si="2"/>
        <v>0</v>
      </c>
      <c r="L20">
        <f t="shared" si="2"/>
        <v>0</v>
      </c>
      <c r="M20">
        <f t="shared" si="2"/>
        <v>0</v>
      </c>
    </row>
    <row r="21" spans="1:13">
      <c r="A21" t="s">
        <v>48</v>
      </c>
      <c r="B21">
        <v>160</v>
      </c>
      <c r="C21">
        <f>B21</f>
        <v>160</v>
      </c>
      <c r="D21">
        <f t="shared" ref="D21:M21" si="3">C21</f>
        <v>160</v>
      </c>
      <c r="E21">
        <f t="shared" si="3"/>
        <v>160</v>
      </c>
      <c r="F21">
        <f t="shared" si="3"/>
        <v>160</v>
      </c>
      <c r="G21">
        <f t="shared" si="3"/>
        <v>160</v>
      </c>
      <c r="H21">
        <f t="shared" si="3"/>
        <v>160</v>
      </c>
      <c r="I21">
        <f t="shared" si="3"/>
        <v>160</v>
      </c>
      <c r="J21">
        <f t="shared" si="3"/>
        <v>160</v>
      </c>
      <c r="K21">
        <f t="shared" si="3"/>
        <v>160</v>
      </c>
      <c r="L21">
        <f t="shared" si="3"/>
        <v>160</v>
      </c>
      <c r="M21">
        <f t="shared" si="3"/>
        <v>160</v>
      </c>
    </row>
    <row r="22" spans="1:13">
      <c r="A22" t="s">
        <v>49</v>
      </c>
      <c r="B22">
        <f>B20 - B21</f>
        <v>-62</v>
      </c>
      <c r="C22">
        <f t="shared" ref="C22:M22" si="4">C20 - C21</f>
        <v>-46</v>
      </c>
      <c r="D22">
        <f t="shared" si="4"/>
        <v>-26</v>
      </c>
      <c r="E22">
        <f t="shared" si="4"/>
        <v>-10</v>
      </c>
      <c r="F22">
        <f t="shared" si="4"/>
        <v>0</v>
      </c>
      <c r="G22">
        <f t="shared" si="4"/>
        <v>26</v>
      </c>
      <c r="H22">
        <f t="shared" si="4"/>
        <v>-160</v>
      </c>
      <c r="I22">
        <f t="shared" si="4"/>
        <v>-160</v>
      </c>
      <c r="J22">
        <f t="shared" si="4"/>
        <v>-160</v>
      </c>
      <c r="K22">
        <f t="shared" si="4"/>
        <v>-160</v>
      </c>
      <c r="L22">
        <f t="shared" si="4"/>
        <v>-160</v>
      </c>
      <c r="M22">
        <f t="shared" si="4"/>
        <v>-160</v>
      </c>
    </row>
    <row r="25" spans="1:13">
      <c r="A25" t="s">
        <v>50</v>
      </c>
    </row>
    <row r="26" spans="1:13">
      <c r="A26" t="s">
        <v>51</v>
      </c>
      <c r="B26">
        <f>DASHBOARD!$B$1</f>
        <v>2</v>
      </c>
    </row>
    <row r="28" spans="1:13">
      <c r="A28" t="s">
        <v>52</v>
      </c>
      <c r="B28">
        <f>IF($B$26=1, B5, IF($B$26=2, ROUND(B5*0.8, 0), B5))</f>
        <v>3</v>
      </c>
      <c r="C28">
        <f t="shared" ref="C28:M28" si="5">IF($B$26=1, C5, IF($B$26=2, ROUND(C5*0.8, 0), C5))</f>
        <v>3</v>
      </c>
      <c r="D28">
        <f t="shared" si="5"/>
        <v>4</v>
      </c>
      <c r="E28">
        <f t="shared" si="5"/>
        <v>4</v>
      </c>
      <c r="F28">
        <f t="shared" si="5"/>
        <v>5</v>
      </c>
      <c r="G28">
        <f t="shared" si="5"/>
        <v>5</v>
      </c>
      <c r="H28">
        <f t="shared" si="5"/>
        <v>0</v>
      </c>
      <c r="I28">
        <f t="shared" si="5"/>
        <v>0</v>
      </c>
      <c r="J28">
        <f t="shared" si="5"/>
        <v>0</v>
      </c>
      <c r="K28">
        <f t="shared" si="5"/>
        <v>0</v>
      </c>
      <c r="L28">
        <f t="shared" si="5"/>
        <v>0</v>
      </c>
      <c r="M28">
        <f t="shared" si="5"/>
        <v>0</v>
      </c>
    </row>
    <row r="29" spans="1:13">
      <c r="A29" t="s">
        <v>53</v>
      </c>
      <c r="B29">
        <f>IF($B$26=1, B6, IF($B$26=2, B6 + ROUND(B5*0.2, 0), B6))</f>
        <v>2</v>
      </c>
      <c r="C29">
        <f t="shared" ref="C29:M29" si="6">IF($B$26=1, C6, IF($B$26=2, C6 + ROUND(C5*0.2, 0), C6))</f>
        <v>2</v>
      </c>
      <c r="D29">
        <f t="shared" si="6"/>
        <v>3</v>
      </c>
      <c r="E29">
        <f t="shared" si="6"/>
        <v>3</v>
      </c>
      <c r="F29">
        <f t="shared" si="6"/>
        <v>3</v>
      </c>
      <c r="G29">
        <f t="shared" si="6"/>
        <v>4</v>
      </c>
      <c r="H29">
        <f t="shared" si="6"/>
        <v>0</v>
      </c>
      <c r="I29">
        <f t="shared" si="6"/>
        <v>0</v>
      </c>
      <c r="J29">
        <f t="shared" si="6"/>
        <v>0</v>
      </c>
      <c r="K29">
        <f t="shared" si="6"/>
        <v>0</v>
      </c>
      <c r="L29">
        <f t="shared" si="6"/>
        <v>0</v>
      </c>
      <c r="M29">
        <f t="shared" si="6"/>
        <v>0</v>
      </c>
    </row>
    <row r="30" spans="1:13">
      <c r="A30" t="s">
        <v>54</v>
      </c>
      <c r="B30">
        <f>B7</f>
        <v>3</v>
      </c>
      <c r="C30">
        <f t="shared" ref="C30:G30" si="7">C7</f>
        <v>4</v>
      </c>
      <c r="D30">
        <f t="shared" si="7"/>
        <v>4</v>
      </c>
      <c r="E30">
        <f t="shared" si="7"/>
        <v>5</v>
      </c>
      <c r="F30">
        <f t="shared" si="7"/>
        <v>5</v>
      </c>
      <c r="G30">
        <f t="shared" si="7"/>
        <v>6</v>
      </c>
    </row>
    <row r="32" spans="1:13">
      <c r="A32" t="s">
        <v>55</v>
      </c>
    </row>
    <row r="33" spans="1:13">
      <c r="A33" t="s">
        <v>56</v>
      </c>
      <c r="B33">
        <f>IF($B$26=3, (B28*10)+(B29*10)+(B30*2), (B28*10)+(B29*10)+(B30*16))</f>
        <v>98</v>
      </c>
      <c r="C33">
        <f t="shared" ref="C33:M33" si="8">IF($B$26=3, (C28*10)+(C29*10)+(C30*2), (C28*10)+(C29*10)+(C30*16))</f>
        <v>114</v>
      </c>
      <c r="D33">
        <f t="shared" si="8"/>
        <v>134</v>
      </c>
      <c r="E33">
        <f t="shared" si="8"/>
        <v>150</v>
      </c>
      <c r="F33">
        <f t="shared" si="8"/>
        <v>160</v>
      </c>
      <c r="G33">
        <f t="shared" si="8"/>
        <v>186</v>
      </c>
      <c r="H33">
        <f t="shared" si="8"/>
        <v>0</v>
      </c>
      <c r="I33">
        <f t="shared" si="8"/>
        <v>0</v>
      </c>
      <c r="J33">
        <f t="shared" si="8"/>
        <v>0</v>
      </c>
      <c r="K33">
        <f t="shared" si="8"/>
        <v>0</v>
      </c>
      <c r="L33">
        <f t="shared" si="8"/>
        <v>0</v>
      </c>
      <c r="M33">
        <f t="shared" si="8"/>
        <v>0</v>
      </c>
    </row>
    <row r="34" spans="1:13">
      <c r="A34" t="s">
        <v>57</v>
      </c>
      <c r="B34">
        <f>IF($B$26=3, B30*14, 0)</f>
        <v>0</v>
      </c>
      <c r="C34">
        <f t="shared" ref="C34:M34" si="9">IF($B$26=3, C30*14, 0)</f>
        <v>0</v>
      </c>
      <c r="D34">
        <f t="shared" si="9"/>
        <v>0</v>
      </c>
      <c r="E34">
        <f t="shared" si="9"/>
        <v>0</v>
      </c>
      <c r="F34">
        <f t="shared" si="9"/>
        <v>0</v>
      </c>
      <c r="G34">
        <f t="shared" si="9"/>
        <v>0</v>
      </c>
      <c r="H34">
        <f t="shared" si="9"/>
        <v>0</v>
      </c>
      <c r="I34">
        <f t="shared" si="9"/>
        <v>0</v>
      </c>
      <c r="J34">
        <f t="shared" si="9"/>
        <v>0</v>
      </c>
      <c r="K34">
        <f t="shared" si="9"/>
        <v>0</v>
      </c>
      <c r="L34">
        <f t="shared" si="9"/>
        <v>0</v>
      </c>
      <c r="M34">
        <f t="shared" si="9"/>
        <v>0</v>
      </c>
    </row>
    <row r="35" spans="1:13">
      <c r="A35" t="s">
        <v>58</v>
      </c>
      <c r="B35">
        <f>B33 - 160</f>
        <v>-62</v>
      </c>
      <c r="C35">
        <f t="shared" ref="C35:M35" si="10">C33 - 160</f>
        <v>-46</v>
      </c>
      <c r="D35">
        <f t="shared" si="10"/>
        <v>-26</v>
      </c>
      <c r="E35">
        <f t="shared" si="10"/>
        <v>-10</v>
      </c>
      <c r="F35">
        <f t="shared" si="10"/>
        <v>0</v>
      </c>
      <c r="G35">
        <f t="shared" si="10"/>
        <v>26</v>
      </c>
      <c r="H35">
        <f t="shared" si="10"/>
        <v>-160</v>
      </c>
      <c r="I35">
        <f t="shared" si="10"/>
        <v>-160</v>
      </c>
      <c r="J35">
        <f t="shared" si="10"/>
        <v>-160</v>
      </c>
      <c r="K35">
        <f t="shared" si="10"/>
        <v>-160</v>
      </c>
      <c r="L35">
        <f t="shared" si="10"/>
        <v>-160</v>
      </c>
      <c r="M35">
        <f t="shared" si="10"/>
        <v>-160</v>
      </c>
    </row>
    <row r="37" spans="1:13">
      <c r="A37" t="s">
        <v>59</v>
      </c>
    </row>
    <row r="38" spans="1:13">
      <c r="A38" t="s">
        <v>60</v>
      </c>
      <c r="B38">
        <f>(B28*INPUT_Control_Panel!$B$2)+(B29*INPUT_Control_Panel!$B$2*INPUT_Control_Panel!$B$3)+(B30*INPUT_Control_Panel!$C$2)</f>
        <v>18300</v>
      </c>
      <c r="C38">
        <f>(C28*INPUT_Control_Panel!$B$2)+(C29*INPUT_Control_Panel!$B$2*INPUT_Control_Panel!$B$3)+(C30*INPUT_Control_Panel!$C$2)</f>
        <v>19900</v>
      </c>
      <c r="D38">
        <f>(D28*INPUT_Control_Panel!$B$2)+(D29*INPUT_Control_Panel!$B$2*INPUT_Control_Panel!$B$3)+(D30*INPUT_Control_Panel!$C$2)</f>
        <v>25400</v>
      </c>
      <c r="E38">
        <f>(E28*INPUT_Control_Panel!$B$2)+(E29*INPUT_Control_Panel!$B$2*INPUT_Control_Panel!$B$3)+(E30*INPUT_Control_Panel!$C$2)</f>
        <v>27000</v>
      </c>
      <c r="F38">
        <f>(F28*INPUT_Control_Panel!$B$2)+(F29*INPUT_Control_Panel!$B$2*INPUT_Control_Panel!$B$3)+(F30*INPUT_Control_Panel!$C$2)</f>
        <v>29500</v>
      </c>
      <c r="G38">
        <f>(G28*INPUT_Control_Panel!$B$2)+(G29*INPUT_Control_Panel!$B$2*INPUT_Control_Panel!$B$3)+(G30*INPUT_Control_Panel!$C$2)</f>
        <v>34100</v>
      </c>
      <c r="H38">
        <f>(H28*INPUT_Control_Panel!$B$2)+(H29*INPUT_Control_Panel!$B$2*INPUT_Control_Panel!$B$3)+(H30*INPUT_Control_Panel!$C$2)</f>
        <v>0</v>
      </c>
      <c r="I38">
        <f>(I28*INPUT_Control_Panel!$B$2)+(I29*INPUT_Control_Panel!$B$2*INPUT_Control_Panel!$B$3)+(I30*INPUT_Control_Panel!$C$2)</f>
        <v>0</v>
      </c>
      <c r="J38">
        <f>(J28*INPUT_Control_Panel!$B$2)+(J29*INPUT_Control_Panel!$B$2*INPUT_Control_Panel!$B$3)+(J30*INPUT_Control_Panel!$C$2)</f>
        <v>0</v>
      </c>
      <c r="K38">
        <f>(K28*INPUT_Control_Panel!$B$2)+(K29*INPUT_Control_Panel!$B$2*INPUT_Control_Panel!$B$3)+(K30*INPUT_Control_Panel!$C$2)</f>
        <v>0</v>
      </c>
      <c r="L38">
        <f>(L28*INPUT_Control_Panel!$B$2)+(L29*INPUT_Control_Panel!$B$2*INPUT_Control_Panel!$B$3)+(L30*INPUT_Control_Panel!$C$2)</f>
        <v>0</v>
      </c>
      <c r="M38">
        <f>(M28*INPUT_Control_Panel!$B$2)+(M29*INPUT_Control_Panel!$B$2*INPUT_Control_Panel!$B$3)+(M30*INPUT_Control_Panel!$C$2)</f>
        <v>0</v>
      </c>
    </row>
    <row r="39" spans="1:13">
      <c r="A39" t="s">
        <v>61</v>
      </c>
    </row>
    <row r="40" spans="1:13">
      <c r="A40" t="s">
        <v>5</v>
      </c>
      <c r="B40">
        <f>INPUT_Control_Panel!$I$2</f>
        <v>12000</v>
      </c>
      <c r="C40">
        <f>INPUT_Control_Panel!$I$2</f>
        <v>12000</v>
      </c>
      <c r="D40">
        <f>INPUT_Control_Panel!$I$2</f>
        <v>12000</v>
      </c>
      <c r="E40">
        <f>INPUT_Control_Panel!$I$2</f>
        <v>12000</v>
      </c>
      <c r="F40">
        <f>INPUT_Control_Panel!$I$2</f>
        <v>12000</v>
      </c>
      <c r="G40">
        <f>INPUT_Control_Panel!$I$2</f>
        <v>12000</v>
      </c>
      <c r="H40">
        <f>INPUT_Control_Panel!$I$2</f>
        <v>12000</v>
      </c>
      <c r="I40">
        <f>INPUT_Control_Panel!$I$2</f>
        <v>12000</v>
      </c>
      <c r="J40">
        <f>INPUT_Control_Panel!$I$2</f>
        <v>12000</v>
      </c>
      <c r="K40">
        <f>INPUT_Control_Panel!$I$2</f>
        <v>12000</v>
      </c>
      <c r="L40">
        <f>INPUT_Control_Panel!$I$2</f>
        <v>12000</v>
      </c>
      <c r="M40">
        <f>INPUT_Control_Panel!$I$2</f>
        <v>12000</v>
      </c>
    </row>
    <row r="41" spans="1:13">
      <c r="A41" t="s">
        <v>62</v>
      </c>
      <c r="B41">
        <f>INPUT_Control_Panel!$I$3</f>
        <v>2500</v>
      </c>
      <c r="C41">
        <f>INPUT_Control_Panel!$I$3</f>
        <v>2500</v>
      </c>
      <c r="D41">
        <f>INPUT_Control_Panel!$I$3</f>
        <v>2500</v>
      </c>
      <c r="E41">
        <f>INPUT_Control_Panel!$I$3</f>
        <v>2500</v>
      </c>
      <c r="F41">
        <f>INPUT_Control_Panel!$I$3</f>
        <v>2500</v>
      </c>
      <c r="G41">
        <f>INPUT_Control_Panel!$I$3</f>
        <v>2500</v>
      </c>
      <c r="H41">
        <f>INPUT_Control_Panel!$I$3</f>
        <v>2500</v>
      </c>
      <c r="I41">
        <f>INPUT_Control_Panel!$I$3</f>
        <v>2500</v>
      </c>
      <c r="J41">
        <f>INPUT_Control_Panel!$I$3</f>
        <v>2500</v>
      </c>
      <c r="K41">
        <f>INPUT_Control_Panel!$I$3</f>
        <v>2500</v>
      </c>
      <c r="L41">
        <f>INPUT_Control_Panel!$I$3</f>
        <v>2500</v>
      </c>
      <c r="M41">
        <f>INPUT_Control_Panel!$I$3</f>
        <v>2500</v>
      </c>
    </row>
    <row r="42" spans="1:13">
      <c r="A42" t="s">
        <v>63</v>
      </c>
      <c r="B42">
        <f>IF($B$26=3, INPUT_Control_Panel!$I$4*2, INPUT_Control_Panel!$I$4)</f>
        <v>300</v>
      </c>
      <c r="C42">
        <f>IF($B$26=3, INPUT_Control_Panel!$I$4*2, INPUT_Control_Panel!$I$4)</f>
        <v>300</v>
      </c>
      <c r="D42">
        <f>IF($B$26=3, INPUT_Control_Panel!$I$4*2, INPUT_Control_Panel!$I$4)</f>
        <v>300</v>
      </c>
      <c r="E42">
        <f>IF($B$26=3, INPUT_Control_Panel!$I$4*2, INPUT_Control_Panel!$I$4)</f>
        <v>300</v>
      </c>
      <c r="F42">
        <f>IF($B$26=3, INPUT_Control_Panel!$I$4*2, INPUT_Control_Panel!$I$4)</f>
        <v>300</v>
      </c>
      <c r="G42">
        <f>IF($B$26=3, INPUT_Control_Panel!$I$4*2, INPUT_Control_Panel!$I$4)</f>
        <v>300</v>
      </c>
      <c r="H42">
        <f>IF($B$26=3, INPUT_Control_Panel!$I$4*2, INPUT_Control_Panel!$I$4)</f>
        <v>300</v>
      </c>
      <c r="I42">
        <f>IF($B$26=3, INPUT_Control_Panel!$I$4*2, INPUT_Control_Panel!$I$4)</f>
        <v>300</v>
      </c>
      <c r="J42">
        <f>IF($B$26=3, INPUT_Control_Panel!$I$4*2, INPUT_Control_Panel!$I$4)</f>
        <v>300</v>
      </c>
      <c r="K42">
        <f>IF($B$26=3, INPUT_Control_Panel!$I$4*2, INPUT_Control_Panel!$I$4)</f>
        <v>300</v>
      </c>
      <c r="L42">
        <f>IF($B$26=3, INPUT_Control_Panel!$I$4*2, INPUT_Control_Panel!$I$4)</f>
        <v>300</v>
      </c>
      <c r="M42">
        <f>IF($B$26=3, INPUT_Control_Panel!$I$4*2, INPUT_Control_Panel!$I$4)</f>
        <v>300</v>
      </c>
    </row>
    <row r="43" spans="1:13">
      <c r="A43" t="s">
        <v>64</v>
      </c>
      <c r="B43">
        <f>IF($B$26=3, INPUT_Control_Panel!$I$5, 0)</f>
        <v>0</v>
      </c>
      <c r="C43">
        <f>IF($B$26=3, INPUT_Control_Panel!$I$5, 0)</f>
        <v>0</v>
      </c>
      <c r="D43">
        <f>IF($B$26=3, INPUT_Control_Panel!$I$5, 0)</f>
        <v>0</v>
      </c>
      <c r="E43">
        <f>IF($B$26=3, INPUT_Control_Panel!$I$5, 0)</f>
        <v>0</v>
      </c>
      <c r="F43">
        <f>IF($B$26=3, INPUT_Control_Panel!$I$5, 0)</f>
        <v>0</v>
      </c>
      <c r="G43">
        <f>IF($B$26=3, INPUT_Control_Panel!$I$5, 0)</f>
        <v>0</v>
      </c>
      <c r="H43">
        <f>IF($B$26=3, INPUT_Control_Panel!$I$5, 0)</f>
        <v>0</v>
      </c>
      <c r="I43">
        <f>IF($B$26=3, INPUT_Control_Panel!$I$5, 0)</f>
        <v>0</v>
      </c>
      <c r="J43">
        <f>IF($B$26=3, INPUT_Control_Panel!$I$5, 0)</f>
        <v>0</v>
      </c>
      <c r="K43">
        <f>IF($B$26=3, INPUT_Control_Panel!$I$5, 0)</f>
        <v>0</v>
      </c>
      <c r="L43">
        <f>IF($B$26=3, INPUT_Control_Panel!$I$5, 0)</f>
        <v>0</v>
      </c>
      <c r="M43">
        <f>IF($B$26=3, INPUT_Control_Panel!$I$5, 0)</f>
        <v>0</v>
      </c>
    </row>
    <row r="44" spans="1:13">
      <c r="A44" t="s">
        <v>65</v>
      </c>
      <c r="B44">
        <f>INPUT_Control_Panel!$I$6 + (B38 * 0.02)</f>
        <v>866</v>
      </c>
      <c r="C44">
        <f>INPUT_Control_Panel!$I$6 + (C38 * 0.02)</f>
        <v>898</v>
      </c>
      <c r="D44">
        <f>INPUT_Control_Panel!$I$6 + (D38 * 0.02)</f>
        <v>1008</v>
      </c>
      <c r="E44">
        <f>INPUT_Control_Panel!$I$6 + (E38 * 0.02)</f>
        <v>1040</v>
      </c>
      <c r="F44">
        <f>INPUT_Control_Panel!$I$6 + (F38 * 0.02)</f>
        <v>1090</v>
      </c>
      <c r="G44">
        <f>INPUT_Control_Panel!$I$6 + (G38 * 0.02)</f>
        <v>1182</v>
      </c>
      <c r="H44">
        <f>INPUT_Control_Panel!$I$6 + (H38 * 0.02)</f>
        <v>500</v>
      </c>
      <c r="I44">
        <f>INPUT_Control_Panel!$I$6 + (I38 * 0.02)</f>
        <v>500</v>
      </c>
      <c r="J44">
        <f>INPUT_Control_Panel!$I$6 + (J38 * 0.02)</f>
        <v>500</v>
      </c>
      <c r="K44">
        <f>INPUT_Control_Panel!$I$6 + (K38 * 0.02)</f>
        <v>500</v>
      </c>
      <c r="L44">
        <f>INPUT_Control_Panel!$I$6 + (L38 * 0.02)</f>
        <v>500</v>
      </c>
      <c r="M44">
        <f>INPUT_Control_Panel!$I$6 + (M38 * 0.02)</f>
        <v>500</v>
      </c>
    </row>
    <row r="45" spans="1:13">
      <c r="A45" t="s">
        <v>66</v>
      </c>
      <c r="B45">
        <f>SUM(B40:B44)</f>
        <v>15666</v>
      </c>
      <c r="C45">
        <f t="shared" ref="C45:M45" si="11">SUM(C40:C44)</f>
        <v>15698</v>
      </c>
      <c r="D45">
        <f t="shared" si="11"/>
        <v>15808</v>
      </c>
      <c r="E45">
        <f t="shared" si="11"/>
        <v>15840</v>
      </c>
      <c r="F45">
        <f t="shared" si="11"/>
        <v>15890</v>
      </c>
      <c r="G45">
        <f t="shared" si="11"/>
        <v>15982</v>
      </c>
      <c r="H45">
        <f t="shared" si="11"/>
        <v>15300</v>
      </c>
      <c r="I45">
        <f t="shared" si="11"/>
        <v>15300</v>
      </c>
      <c r="J45">
        <f t="shared" si="11"/>
        <v>15300</v>
      </c>
      <c r="K45">
        <f t="shared" si="11"/>
        <v>15300</v>
      </c>
      <c r="L45">
        <f t="shared" si="11"/>
        <v>15300</v>
      </c>
      <c r="M45">
        <f t="shared" si="11"/>
        <v>15300</v>
      </c>
    </row>
    <row r="46" spans="1:13">
      <c r="A46" t="s">
        <v>67</v>
      </c>
      <c r="B46">
        <f>B38-B45</f>
        <v>2634</v>
      </c>
      <c r="C46">
        <f t="shared" ref="C46:M46" si="12">C38-C45</f>
        <v>4202</v>
      </c>
      <c r="D46">
        <f t="shared" si="12"/>
        <v>9592</v>
      </c>
      <c r="E46">
        <f t="shared" si="12"/>
        <v>11160</v>
      </c>
      <c r="F46">
        <f t="shared" si="12"/>
        <v>13610</v>
      </c>
      <c r="G46">
        <f t="shared" si="12"/>
        <v>18118</v>
      </c>
      <c r="H46">
        <f t="shared" si="12"/>
        <v>-15300</v>
      </c>
      <c r="I46">
        <f t="shared" si="12"/>
        <v>-15300</v>
      </c>
      <c r="J46">
        <f t="shared" si="12"/>
        <v>-15300</v>
      </c>
      <c r="K46">
        <f t="shared" si="12"/>
        <v>-15300</v>
      </c>
      <c r="L46">
        <f t="shared" si="12"/>
        <v>-15300</v>
      </c>
      <c r="M46">
        <f t="shared" si="12"/>
        <v>-15300</v>
      </c>
    </row>
    <row r="50" spans="1:7">
      <c r="A50" t="s">
        <v>114</v>
      </c>
      <c r="B50" t="s">
        <v>115</v>
      </c>
      <c r="C50" t="s">
        <v>119</v>
      </c>
    </row>
    <row r="51" spans="1:7">
      <c r="A51" t="s">
        <v>116</v>
      </c>
      <c r="B51">
        <f>G20</f>
        <v>186</v>
      </c>
      <c r="C51">
        <v>160</v>
      </c>
    </row>
    <row r="52" spans="1:7">
      <c r="A52" t="s">
        <v>117</v>
      </c>
      <c r="B52">
        <f>(IF(2=2, ROUND(G5*0.8, 0), G5)*10)+(IF(2=2, G6 + ROUND(G5*0.2, 0), G6)*10)+(G7*16)</f>
        <v>186</v>
      </c>
      <c r="C52">
        <v>160</v>
      </c>
    </row>
    <row r="53" spans="1:7">
      <c r="A53" t="s">
        <v>118</v>
      </c>
      <c r="B53">
        <f>(G5*10)+(G6*10)+(G7*2)</f>
        <v>102</v>
      </c>
      <c r="C53">
        <v>160</v>
      </c>
    </row>
    <row r="56" spans="1:7">
      <c r="A56" t="s">
        <v>120</v>
      </c>
      <c r="B56" t="s">
        <v>22</v>
      </c>
      <c r="C56" t="s">
        <v>23</v>
      </c>
      <c r="D56" t="s">
        <v>24</v>
      </c>
      <c r="E56" t="s">
        <v>25</v>
      </c>
      <c r="F56" t="s">
        <v>26</v>
      </c>
      <c r="G56" t="s">
        <v>27</v>
      </c>
    </row>
    <row r="57" spans="1:7">
      <c r="A57" t="s">
        <v>116</v>
      </c>
      <c r="B57">
        <f>((B5*INPUT_Control_Panel!$B$2)+(B6*INPUT_Control_Panel!$B$2*INPUT_Control_Panel!$B$3)+(B7*INPUT_Control_Panel!$C$2)) - (INPUT_Control_Panel!$I$2 + INPUT_Control_Panel!$I$3 + INPUT_Control_Panel!$I$4 + 0 + ( ((B5*INPUT_Control_Panel!$B$2)+(B6*INPUT_Control_Panel!$B$2*INPUT_Control_Panel!$B$3)+(B7*INPUT_Control_Panel!$C$2)) * 0.02 + INPUT_Control_Panel!$I$6 ))</f>
        <v>2144</v>
      </c>
      <c r="C57">
        <f>((C5*INPUT_Control_Panel!$B$2)+(C6*INPUT_Control_Panel!$B$2*INPUT_Control_Panel!$B$3)+(C7*INPUT_Control_Panel!$C$2)) - (INPUT_Control_Panel!$I$2 + INPUT_Control_Panel!$I$3 + INPUT_Control_Panel!$I$4 + 0 + ( ((C5*INPUT_Control_Panel!$B$2)+(C6*INPUT_Control_Panel!$B$2*INPUT_Control_Panel!$B$3)+(C7*INPUT_Control_Panel!$C$2)) * 0.02 + INPUT_Control_Panel!$I$6 ))</f>
        <v>3712</v>
      </c>
      <c r="D57">
        <f>((D5*INPUT_Control_Panel!$B$2)+(D6*INPUT_Control_Panel!$B$2*INPUT_Control_Panel!$B$3)+(D7*INPUT_Control_Panel!$C$2)) - (INPUT_Control_Panel!$I$2 + INPUT_Control_Panel!$I$3 + INPUT_Control_Panel!$I$4 + 0 + ( ((D5*INPUT_Control_Panel!$B$2)+(D6*INPUT_Control_Panel!$B$2*INPUT_Control_Panel!$B$3)+(D7*INPUT_Control_Panel!$C$2)) * 0.02 + INPUT_Control_Panel!$I$6 ))</f>
        <v>9102</v>
      </c>
      <c r="E57">
        <f>((E5*INPUT_Control_Panel!$B$2)+(E6*INPUT_Control_Panel!$B$2*INPUT_Control_Panel!$B$3)+(E7*INPUT_Control_Panel!$C$2)) - (INPUT_Control_Panel!$I$2 + INPUT_Control_Panel!$I$3 + INPUT_Control_Panel!$I$4 + 0 + ( ((E5*INPUT_Control_Panel!$B$2)+(E6*INPUT_Control_Panel!$B$2*INPUT_Control_Panel!$B$3)+(E7*INPUT_Control_Panel!$C$2)) * 0.02 + INPUT_Control_Panel!$I$6 ))</f>
        <v>10670</v>
      </c>
      <c r="F57">
        <f>((F5*INPUT_Control_Panel!$B$2)+(F6*INPUT_Control_Panel!$B$2*INPUT_Control_Panel!$B$3)+(F7*INPUT_Control_Panel!$C$2)) - (INPUT_Control_Panel!$I$2 + INPUT_Control_Panel!$I$3 + INPUT_Control_Panel!$I$4 + 0 + ( ((F5*INPUT_Control_Panel!$B$2)+(F6*INPUT_Control_Panel!$B$2*INPUT_Control_Panel!$B$3)+(F7*INPUT_Control_Panel!$C$2)) * 0.02 + INPUT_Control_Panel!$I$6 ))</f>
        <v>13120</v>
      </c>
      <c r="G57">
        <f>((G5*INPUT_Control_Panel!$B$2)+(G6*INPUT_Control_Panel!$B$2*INPUT_Control_Panel!$B$3)+(G7*INPUT_Control_Panel!$C$2)) - (INPUT_Control_Panel!$I$2 + INPUT_Control_Panel!$I$3 + INPUT_Control_Panel!$I$4 + 0 + ( ((G5*INPUT_Control_Panel!$B$2)+(G6*INPUT_Control_Panel!$B$2*INPUT_Control_Panel!$B$3)+(G7*INPUT_Control_Panel!$C$2)) * 0.02 + INPUT_Control_Panel!$I$6 ))</f>
        <v>17628</v>
      </c>
    </row>
    <row r="58" spans="1:7">
      <c r="A58" t="s">
        <v>117</v>
      </c>
      <c r="B58">
        <f>((ROUND(B5*0.8,0)*INPUT_Control_Panel!$B$2)+( (B6+ROUND(B5*0.2,0)) *INPUT_Control_Panel!$B$2*INPUT_Control_Panel!$B$3)+(B7*INPUT_Control_Panel!$C$2)) - (INPUT_Control_Panel!$I$2 + INPUT_Control_Panel!$I$3 + INPUT_Control_Panel!$I$4 + 0 + ( ((ROUND(B5*0.8,0)*INPUT_Control_Panel!$B$2)+( (B6+ROUND(B5*0.2,0)) *INPUT_Control_Panel!$B$2*INPUT_Control_Panel!$B$3)+(B7*INPUT_Control_Panel!$C$2)) * 0.02 + INPUT_Control_Panel!$I$6 ))</f>
        <v>2634</v>
      </c>
      <c r="C58">
        <f>((ROUND(C5*0.8,0)*INPUT_Control_Panel!$B$2)+( (C6+ROUND(C5*0.2,0)) *INPUT_Control_Panel!$B$2*INPUT_Control_Panel!$B$3)+(C7*INPUT_Control_Panel!$C$2)) - (INPUT_Control_Panel!$I$2 + INPUT_Control_Panel!$I$3 + INPUT_Control_Panel!$I$4 + 0 + ( ((ROUND(C5*0.8,0)*INPUT_Control_Panel!$B$2)+( (C6+ROUND(C5*0.2,0)) *INPUT_Control_Panel!$B$2*INPUT_Control_Panel!$B$3)+(C7*INPUT_Control_Panel!$C$2)) * 0.02 + INPUT_Control_Panel!$I$6 ))</f>
        <v>4202</v>
      </c>
      <c r="D58">
        <f>((ROUND(D5*0.8,0)*INPUT_Control_Panel!$B$2)+( (D6+ROUND(D5*0.2,0)) *INPUT_Control_Panel!$B$2*INPUT_Control_Panel!$B$3)+(D7*INPUT_Control_Panel!$C$2)) - (INPUT_Control_Panel!$I$2 + INPUT_Control_Panel!$I$3 + INPUT_Control_Panel!$I$4 + 0 + ( ((ROUND(D5*0.8,0)*INPUT_Control_Panel!$B$2)+( (D6+ROUND(D5*0.2,0)) *INPUT_Control_Panel!$B$2*INPUT_Control_Panel!$B$3)+(D7*INPUT_Control_Panel!$C$2)) * 0.02 + INPUT_Control_Panel!$I$6 ))</f>
        <v>9592</v>
      </c>
      <c r="E58">
        <f>((ROUND(E5*0.8,0)*INPUT_Control_Panel!$B$2)+( (E6+ROUND(E5*0.2,0)) *INPUT_Control_Panel!$B$2*INPUT_Control_Panel!$B$3)+(E7*INPUT_Control_Panel!$C$2)) - (INPUT_Control_Panel!$I$2 + INPUT_Control_Panel!$I$3 + INPUT_Control_Panel!$I$4 + 0 + ( ((ROUND(E5*0.8,0)*INPUT_Control_Panel!$B$2)+( (E6+ROUND(E5*0.2,0)) *INPUT_Control_Panel!$B$2*INPUT_Control_Panel!$B$3)+(E7*INPUT_Control_Panel!$C$2)) * 0.02 + INPUT_Control_Panel!$I$6 ))</f>
        <v>11160</v>
      </c>
      <c r="F58">
        <f>((ROUND(F5*0.8,0)*INPUT_Control_Panel!$B$2)+( (F6+ROUND(F5*0.2,0)) *INPUT_Control_Panel!$B$2*INPUT_Control_Panel!$B$3)+(F7*INPUT_Control_Panel!$C$2)) - (INPUT_Control_Panel!$I$2 + INPUT_Control_Panel!$I$3 + INPUT_Control_Panel!$I$4 + 0 + ( ((ROUND(F5*0.8,0)*INPUT_Control_Panel!$B$2)+( (F6+ROUND(F5*0.2,0)) *INPUT_Control_Panel!$B$2*INPUT_Control_Panel!$B$3)+(F7*INPUT_Control_Panel!$C$2)) * 0.02 + INPUT_Control_Panel!$I$6 ))</f>
        <v>13610</v>
      </c>
      <c r="G58">
        <f>((ROUND(G5*0.8,0)*INPUT_Control_Panel!$B$2)+( (G6+ROUND(G5*0.2,0)) *INPUT_Control_Panel!$B$2*INPUT_Control_Panel!$B$3)+(G7*INPUT_Control_Panel!$C$2)) - (INPUT_Control_Panel!$I$2 + INPUT_Control_Panel!$I$3 + INPUT_Control_Panel!$I$4 + 0 + ( ((ROUND(G5*0.8,0)*INPUT_Control_Panel!$B$2)+( (G6+ROUND(G5*0.2,0)) *INPUT_Control_Panel!$B$2*INPUT_Control_Panel!$B$3)+(G7*INPUT_Control_Panel!$C$2)) * 0.02 + INPUT_Control_Panel!$I$6 ))</f>
        <v>18118</v>
      </c>
    </row>
    <row r="59" spans="1:7">
      <c r="A59" t="s">
        <v>118</v>
      </c>
      <c r="B59">
        <f>((B5*INPUT_Control_Panel!$B$2)+(B6*INPUT_Control_Panel!$B$2*INPUT_Control_Panel!$B$3)+(B7*INPUT_Control_Panel!$C$2)) - (INPUT_Control_Panel!$I$2 + INPUT_Control_Panel!$I$3 + (INPUT_Control_Panel!$I$4*2) + INPUT_Control_Panel!$I$5 + ( ((B5*INPUT_Control_Panel!$B$2)+(B6*INPUT_Control_Panel!$B$2*INPUT_Control_Panel!$B$3)+(B7*INPUT_Control_Panel!$C$2)) * 0.02 + INPUT_Control_Panel!$I$6 ))</f>
        <v>-4156</v>
      </c>
      <c r="C59">
        <f>((C5*INPUT_Control_Panel!$B$2)+(C6*INPUT_Control_Panel!$B$2*INPUT_Control_Panel!$B$3)+(C7*INPUT_Control_Panel!$C$2)) - (INPUT_Control_Panel!$I$2 + INPUT_Control_Panel!$I$3 + (INPUT_Control_Panel!$I$4*2) + INPUT_Control_Panel!$I$5 + ( ((C5*INPUT_Control_Panel!$B$2)+(C6*INPUT_Control_Panel!$B$2*INPUT_Control_Panel!$B$3)+(C7*INPUT_Control_Panel!$C$2)) * 0.02 + INPUT_Control_Panel!$I$6 ))</f>
        <v>-2588</v>
      </c>
      <c r="D59">
        <f>((D5*INPUT_Control_Panel!$B$2)+(D6*INPUT_Control_Panel!$B$2*INPUT_Control_Panel!$B$3)+(D7*INPUT_Control_Panel!$C$2)) - (INPUT_Control_Panel!$I$2 + INPUT_Control_Panel!$I$3 + (INPUT_Control_Panel!$I$4*2) + INPUT_Control_Panel!$I$5 + ( ((D5*INPUT_Control_Panel!$B$2)+(D6*INPUT_Control_Panel!$B$2*INPUT_Control_Panel!$B$3)+(D7*INPUT_Control_Panel!$C$2)) * 0.02 + INPUT_Control_Panel!$I$6 ))</f>
        <v>2802</v>
      </c>
      <c r="E59">
        <f>((E5*INPUT_Control_Panel!$B$2)+(E6*INPUT_Control_Panel!$B$2*INPUT_Control_Panel!$B$3)+(E7*INPUT_Control_Panel!$C$2)) - (INPUT_Control_Panel!$I$2 + INPUT_Control_Panel!$I$3 + (INPUT_Control_Panel!$I$4*2) + INPUT_Control_Panel!$I$5 + ( ((E5*INPUT_Control_Panel!$B$2)+(E6*INPUT_Control_Panel!$B$2*INPUT_Control_Panel!$B$3)+(E7*INPUT_Control_Panel!$C$2)) * 0.02 + INPUT_Control_Panel!$I$6 ))</f>
        <v>4370</v>
      </c>
      <c r="F59">
        <f>((F5*INPUT_Control_Panel!$B$2)+(F6*INPUT_Control_Panel!$B$2*INPUT_Control_Panel!$B$3)+(F7*INPUT_Control_Panel!$C$2)) - (INPUT_Control_Panel!$I$2 + INPUT_Control_Panel!$I$3 + (INPUT_Control_Panel!$I$4*2) + INPUT_Control_Panel!$I$5 + ( ((F5*INPUT_Control_Panel!$B$2)+(F6*INPUT_Control_Panel!$B$2*INPUT_Control_Panel!$B$3)+(F7*INPUT_Control_Panel!$C$2)) * 0.02 + INPUT_Control_Panel!$I$6 ))</f>
        <v>6820</v>
      </c>
      <c r="G59">
        <f>((G5*INPUT_Control_Panel!$B$2)+(G6*INPUT_Control_Panel!$B$2*INPUT_Control_Panel!$B$3)+(G7*INPUT_Control_Panel!$C$2)) - (INPUT_Control_Panel!$I$2 + INPUT_Control_Panel!$I$3 + (INPUT_Control_Panel!$I$4*2) + INPUT_Control_Panel!$I$5 + ( ((G5*INPUT_Control_Panel!$B$2)+(G6*INPUT_Control_Panel!$B$2*INPUT_Control_Panel!$B$3)+(G7*INPUT_Control_Panel!$C$2)) * 0.02 + INPUT_Control_Panel!$I$6 ))</f>
        <v>11328</v>
      </c>
    </row>
    <row r="65" spans="1:7">
      <c r="A65" t="s">
        <v>122</v>
      </c>
      <c r="B65" t="s">
        <v>22</v>
      </c>
      <c r="C65" t="s">
        <v>23</v>
      </c>
      <c r="D65" t="s">
        <v>24</v>
      </c>
      <c r="E65" t="s">
        <v>25</v>
      </c>
      <c r="F65" t="s">
        <v>26</v>
      </c>
      <c r="G65" t="s">
        <v>27</v>
      </c>
    </row>
    <row r="66" spans="1:7">
      <c r="A66" t="s">
        <v>123</v>
      </c>
      <c r="B66">
        <f>B38</f>
        <v>18300</v>
      </c>
      <c r="C66">
        <f t="shared" ref="C66:G66" si="13">C38</f>
        <v>19900</v>
      </c>
      <c r="D66">
        <f t="shared" si="13"/>
        <v>25400</v>
      </c>
      <c r="E66">
        <f t="shared" si="13"/>
        <v>27000</v>
      </c>
      <c r="F66">
        <f t="shared" si="13"/>
        <v>29500</v>
      </c>
      <c r="G66">
        <f t="shared" si="13"/>
        <v>34100</v>
      </c>
    </row>
    <row r="67" spans="1:7">
      <c r="A67" t="s">
        <v>124</v>
      </c>
      <c r="B67">
        <f>B45</f>
        <v>15666</v>
      </c>
      <c r="C67">
        <f t="shared" ref="C67:G67" si="14">C45</f>
        <v>15698</v>
      </c>
      <c r="D67">
        <f t="shared" si="14"/>
        <v>15808</v>
      </c>
      <c r="E67">
        <f t="shared" si="14"/>
        <v>15840</v>
      </c>
      <c r="F67">
        <f t="shared" si="14"/>
        <v>15890</v>
      </c>
      <c r="G67">
        <f t="shared" si="14"/>
        <v>15982</v>
      </c>
    </row>
    <row r="68" spans="1:7">
      <c r="A68" t="s">
        <v>125</v>
      </c>
      <c r="B68">
        <f>B46</f>
        <v>2634</v>
      </c>
      <c r="C68">
        <f t="shared" ref="C68:G68" si="15">C46</f>
        <v>4202</v>
      </c>
      <c r="D68">
        <f t="shared" si="15"/>
        <v>9592</v>
      </c>
      <c r="E68">
        <f t="shared" si="15"/>
        <v>11160</v>
      </c>
      <c r="F68">
        <f t="shared" si="15"/>
        <v>13610</v>
      </c>
      <c r="G68">
        <f t="shared" si="15"/>
        <v>18118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392fd01-a5bc-442e-a763-c69f593d4b6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2E4DE73705B94684CBC4DC491FC295" ma:contentTypeVersion="6" ma:contentTypeDescription="Create a new document." ma:contentTypeScope="" ma:versionID="25bac3e246cef93bce0880c556737f93">
  <xsd:schema xmlns:xsd="http://www.w3.org/2001/XMLSchema" xmlns:xs="http://www.w3.org/2001/XMLSchema" xmlns:p="http://schemas.microsoft.com/office/2006/metadata/properties" xmlns:ns3="e392fd01-a5bc-442e-a763-c69f593d4b63" targetNamespace="http://schemas.microsoft.com/office/2006/metadata/properties" ma:root="true" ma:fieldsID="4b94db5904e6ee1a86e8a47c88292c51" ns3:_="">
    <xsd:import namespace="e392fd01-a5bc-442e-a763-c69f593d4b6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92fd01-a5bc-442e-a763-c69f593d4b6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22E483-352C-424E-B1FA-F8EE581CC9D2}">
  <ds:schemaRefs>
    <ds:schemaRef ds:uri="http://www.w3.org/XML/1998/namespace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purl.org/dc/elements/1.1/"/>
    <ds:schemaRef ds:uri="e392fd01-a5bc-442e-a763-c69f593d4b63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8CE5187A-3733-4319-9099-1572C623B25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6FF0A99-7457-4960-8797-7A6FCFC984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392fd01-a5bc-442e-a763-c69f593d4b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README_Case_ContextCahaba Struc</vt:lpstr>
      <vt:lpstr>INPUT_Control_Panel</vt:lpstr>
      <vt:lpstr>CALC_Revenue_Engine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Johnson, Hope</dc:creator>
  <cp:lastModifiedBy>Johnson, Hope</cp:lastModifiedBy>
  <dcterms:created xsi:type="dcterms:W3CDTF">2026-06-30T15:54:02Z</dcterms:created>
  <dcterms:modified xsi:type="dcterms:W3CDTF">2026-06-30T21:22:18Z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03a1110-2b89-49af-85e6-708c040c3dce_Enabled">
    <vt:lpwstr>true</vt:lpwstr>
  </property>
  <property fmtid="{D5CDD505-2E9C-101B-9397-08002B2CF9AE}" pid="3" name="MSIP_Label_f03a1110-2b89-49af-85e6-708c040c3dce_SetDate">
    <vt:lpwstr>2026-06-30T15:55:44Z</vt:lpwstr>
  </property>
  <property fmtid="{D5CDD505-2E9C-101B-9397-08002B2CF9AE}" pid="4" name="MSIP_Label_f03a1110-2b89-49af-85e6-708c040c3dce_Method">
    <vt:lpwstr>Privileged</vt:lpwstr>
  </property>
  <property fmtid="{D5CDD505-2E9C-101B-9397-08002B2CF9AE}" pid="5" name="MSIP_Label_f03a1110-2b89-49af-85e6-708c040c3dce_Name">
    <vt:lpwstr>Public</vt:lpwstr>
  </property>
  <property fmtid="{D5CDD505-2E9C-101B-9397-08002B2CF9AE}" pid="6" name="MSIP_Label_f03a1110-2b89-49af-85e6-708c040c3dce_SiteId">
    <vt:lpwstr>d8999fe4-76af-40b3-b435-1d8977abc08c</vt:lpwstr>
  </property>
  <property fmtid="{D5CDD505-2E9C-101B-9397-08002B2CF9AE}" pid="7" name="MSIP_Label_f03a1110-2b89-49af-85e6-708c040c3dce_ActionId">
    <vt:lpwstr>1ef36bfc-e9b9-4bfa-a999-5635904e9b59</vt:lpwstr>
  </property>
  <property fmtid="{D5CDD505-2E9C-101B-9397-08002B2CF9AE}" pid="8" name="MSIP_Label_f03a1110-2b89-49af-85e6-708c040c3dce_ContentBits">
    <vt:lpwstr>0</vt:lpwstr>
  </property>
  <property fmtid="{D5CDD505-2E9C-101B-9397-08002B2CF9AE}" pid="9" name="MSIP_Label_f03a1110-2b89-49af-85e6-708c040c3dce_Tag">
    <vt:lpwstr>10, 0, 1, 1</vt:lpwstr>
  </property>
  <property fmtid="{D5CDD505-2E9C-101B-9397-08002B2CF9AE}" pid="10" name="ContentTypeId">
    <vt:lpwstr>0x010100372E4DE73705B94684CBC4DC491FC295</vt:lpwstr>
  </property>
</Properties>
</file>